
<file path=[Content_Types].xml><?xml version="1.0" encoding="utf-8"?>
<Types xmlns="http://schemas.openxmlformats.org/package/2006/content-types"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/>
  <mc:AlternateContent xmlns:mc="http://schemas.openxmlformats.org/markup-compatibility/2006">
    <mc:Choice Requires="x15">
      <x15ac:absPath xmlns:x15ac="http://schemas.microsoft.com/office/spreadsheetml/2010/11/ac" url="https://transformhomes.sharepoint.com/sites/TransformHomes2/Shared Documents/MONDAY LIVE/mondaymeeting/"/>
    </mc:Choice>
  </mc:AlternateContent>
  <xr:revisionPtr revIDLastSave="6001" documentId="11_36105CCC59351A6D04BF2BA7B021E1B75FC5322F" xr6:coauthVersionLast="47" xr6:coauthVersionMax="47" xr10:uidLastSave="{A5F8E95A-5BDC-4C50-9BE3-22A116EA1519}"/>
  <bookViews>
    <workbookView xWindow="7200" yWindow="2400" windowWidth="21600" windowHeight="11295" tabRatio="500" firstSheet="1" activeTab="1" xr2:uid="{00000000-000D-0000-FFFF-FFFF00000000}"/>
  </bookViews>
  <sheets>
    <sheet name="Summary" sheetId="16" state="hidden" r:id="rId1"/>
    <sheet name="Dashboard" sheetId="2" r:id="rId2"/>
    <sheet name="Other Metrics" sheetId="3" r:id="rId3"/>
    <sheet name="Revised Client Price" sheetId="4" r:id="rId4"/>
    <sheet name="Deep_Dive" sheetId="5" r:id="rId5"/>
    <sheet name="Public Holidays" sheetId="6" state="hidden" r:id="rId6"/>
    <sheet name="Projects Completed" sheetId="7" r:id="rId7"/>
    <sheet name="Schedules_Solo" sheetId="8" state="hidden" r:id="rId8"/>
    <sheet name="Budgets_Solo" sheetId="9" state="hidden" r:id="rId9"/>
    <sheet name="Charts" sheetId="10" state="hidden" r:id="rId10"/>
    <sheet name="Old Data" sheetId="11" state="hidden" r:id="rId11"/>
    <sheet name="Sheet1" sheetId="12" state="hidden" r:id="rId12"/>
  </sheets>
  <definedNames>
    <definedName name="_xleta.AVERAGE" hidden="1" xlm="1">#NAME?</definedName>
    <definedName name="_xleta.DATE" hidden="1">#NAME?</definedName>
    <definedName name="_xleta.PRICE" hidden="1">#NAME?</definedName>
    <definedName name="_xleta.SUM" hidden="1" xlm="1">#NAME?</definedName>
    <definedName name="_xleta.TIME" hidden="1" xlm="1">#NAME?</definedName>
    <definedName name="_xlpm.variance" hidden="1" xlm="1">#NAME?</definedName>
    <definedName name="DaysAndWeeks">{0,1,2,3,4,5,6} + {0;1;2;3;4;5}*7</definedName>
    <definedName name="_xlnm.Print_Area" localSheetId="1">Dashboard!$A$1:$O$19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7" l="1"/>
  <c r="E11" i="7"/>
  <c r="E12" i="7"/>
  <c r="E13" i="7"/>
  <c r="E9" i="7"/>
  <c r="E3" i="7"/>
  <c r="E4" i="7"/>
  <c r="E5" i="7"/>
  <c r="E6" i="7"/>
  <c r="E7" i="7"/>
  <c r="E8" i="7"/>
  <c r="F13" i="5"/>
  <c r="F8" i="8" s="1"/>
  <c r="B31" i="7"/>
  <c r="C31" i="7"/>
  <c r="D31" i="7"/>
  <c r="N13" i="2"/>
  <c r="E29" i="2" s="1"/>
  <c r="M13" i="2"/>
  <c r="E28" i="2" s="1"/>
  <c r="G45" i="11"/>
  <c r="E45" i="11"/>
  <c r="D45" i="11"/>
  <c r="C45" i="11"/>
  <c r="B45" i="11"/>
  <c r="F44" i="11"/>
  <c r="F43" i="11"/>
  <c r="F42" i="11"/>
  <c r="F38" i="11"/>
  <c r="F45" i="11" s="1"/>
  <c r="H35" i="11"/>
  <c r="A35" i="11"/>
  <c r="C29" i="11"/>
  <c r="F29" i="11" s="1"/>
  <c r="B29" i="11"/>
  <c r="C28" i="11"/>
  <c r="F28" i="11" s="1"/>
  <c r="B28" i="11"/>
  <c r="C27" i="11"/>
  <c r="F27" i="11" s="1"/>
  <c r="B27" i="11"/>
  <c r="C26" i="11"/>
  <c r="F26" i="11" s="1"/>
  <c r="B26" i="11"/>
  <c r="C25" i="11"/>
  <c r="F25" i="11" s="1"/>
  <c r="B25" i="11"/>
  <c r="C24" i="11"/>
  <c r="F24" i="11" s="1"/>
  <c r="B24" i="11"/>
  <c r="C23" i="11"/>
  <c r="F23" i="11" s="1"/>
  <c r="B23" i="11"/>
  <c r="I13" i="11"/>
  <c r="J13" i="11" s="1"/>
  <c r="F13" i="11"/>
  <c r="E13" i="11"/>
  <c r="I12" i="11"/>
  <c r="J12" i="11" s="1"/>
  <c r="F12" i="11"/>
  <c r="E12" i="11"/>
  <c r="I11" i="11"/>
  <c r="J11" i="11" s="1"/>
  <c r="F11" i="11"/>
  <c r="E11" i="11"/>
  <c r="I10" i="11"/>
  <c r="J10" i="11" s="1"/>
  <c r="F10" i="11"/>
  <c r="E10" i="11"/>
  <c r="I9" i="11"/>
  <c r="J9" i="11" s="1"/>
  <c r="F9" i="11"/>
  <c r="E9" i="11"/>
  <c r="I8" i="11"/>
  <c r="J8" i="11" s="1"/>
  <c r="F8" i="11"/>
  <c r="E8" i="11"/>
  <c r="I7" i="11"/>
  <c r="J7" i="11" s="1"/>
  <c r="J14" i="11" s="1"/>
  <c r="F7" i="11"/>
  <c r="E7" i="11"/>
  <c r="E14" i="11" s="1"/>
  <c r="D4" i="11"/>
  <c r="G8" i="9"/>
  <c r="D8" i="9"/>
  <c r="C8" i="9"/>
  <c r="K8" i="9" s="1"/>
  <c r="B8" i="9"/>
  <c r="A8" i="9"/>
  <c r="H7" i="9"/>
  <c r="G7" i="9"/>
  <c r="D7" i="9"/>
  <c r="C7" i="9"/>
  <c r="K7" i="9" s="1"/>
  <c r="B7" i="9"/>
  <c r="H6" i="9"/>
  <c r="G6" i="9"/>
  <c r="D6" i="9"/>
  <c r="C6" i="9"/>
  <c r="K6" i="9" s="1"/>
  <c r="B6" i="9"/>
  <c r="H5" i="9"/>
  <c r="G5" i="9"/>
  <c r="D5" i="9"/>
  <c r="C5" i="9"/>
  <c r="K5" i="9" s="1"/>
  <c r="B5" i="9"/>
  <c r="H4" i="9"/>
  <c r="G4" i="9"/>
  <c r="D4" i="9"/>
  <c r="C4" i="9"/>
  <c r="K4" i="9" s="1"/>
  <c r="B4" i="9"/>
  <c r="H3" i="9"/>
  <c r="G3" i="9"/>
  <c r="D3" i="9"/>
  <c r="C3" i="9"/>
  <c r="K3" i="9" s="1"/>
  <c r="B3" i="9"/>
  <c r="E8" i="8"/>
  <c r="C8" i="8"/>
  <c r="B8" i="8"/>
  <c r="E7" i="8"/>
  <c r="C7" i="8"/>
  <c r="B7" i="8"/>
  <c r="E6" i="8"/>
  <c r="C6" i="8"/>
  <c r="B6" i="8"/>
  <c r="E5" i="8"/>
  <c r="C5" i="8"/>
  <c r="B5" i="8"/>
  <c r="E4" i="8"/>
  <c r="C4" i="8"/>
  <c r="B4" i="8"/>
  <c r="E3" i="8"/>
  <c r="C3" i="8"/>
  <c r="B3" i="8"/>
  <c r="E22" i="7"/>
  <c r="F22" i="7" s="1"/>
  <c r="A22" i="7"/>
  <c r="E21" i="7"/>
  <c r="F21" i="7" s="1"/>
  <c r="A21" i="7"/>
  <c r="E20" i="7"/>
  <c r="F20" i="7" s="1"/>
  <c r="A20" i="7"/>
  <c r="E19" i="7"/>
  <c r="A19" i="7"/>
  <c r="F18" i="7"/>
  <c r="E18" i="7"/>
  <c r="A18" i="7"/>
  <c r="G1" i="7"/>
  <c r="H27" i="6"/>
  <c r="G27" i="6"/>
  <c r="F27" i="6"/>
  <c r="D27" i="6"/>
  <c r="K12" i="5" s="1"/>
  <c r="A27" i="6"/>
  <c r="H26" i="6"/>
  <c r="G26" i="6"/>
  <c r="F26" i="6"/>
  <c r="D26" i="6"/>
  <c r="K11" i="5" s="1"/>
  <c r="A26" i="6"/>
  <c r="H25" i="6"/>
  <c r="G25" i="6"/>
  <c r="F25" i="6"/>
  <c r="D25" i="6"/>
  <c r="K10" i="5" s="1"/>
  <c r="A25" i="6"/>
  <c r="H24" i="6"/>
  <c r="G24" i="6"/>
  <c r="F24" i="6"/>
  <c r="D24" i="6"/>
  <c r="K9" i="5" s="1"/>
  <c r="A24" i="6"/>
  <c r="H23" i="6"/>
  <c r="G23" i="6"/>
  <c r="F23" i="6"/>
  <c r="D23" i="6"/>
  <c r="K8" i="5" s="1"/>
  <c r="A23" i="6"/>
  <c r="H22" i="6"/>
  <c r="G22" i="6"/>
  <c r="F22" i="6"/>
  <c r="D22" i="6"/>
  <c r="K7" i="5" s="1"/>
  <c r="A22" i="6"/>
  <c r="H25" i="5"/>
  <c r="G9" i="9" s="1"/>
  <c r="D25" i="5"/>
  <c r="E22" i="2" s="1"/>
  <c r="C25" i="5"/>
  <c r="B25" i="5"/>
  <c r="E24" i="5"/>
  <c r="E23" i="5"/>
  <c r="A23" i="5"/>
  <c r="A7" i="9" s="1"/>
  <c r="E22" i="5"/>
  <c r="A22" i="5"/>
  <c r="A6" i="9" s="1"/>
  <c r="E21" i="5"/>
  <c r="A21" i="5"/>
  <c r="A3" i="4" s="1"/>
  <c r="E20" i="5"/>
  <c r="A20" i="5"/>
  <c r="A2" i="4" s="1"/>
  <c r="E19" i="5"/>
  <c r="A19" i="5"/>
  <c r="A3" i="9" s="1"/>
  <c r="E14" i="5"/>
  <c r="D13" i="5"/>
  <c r="D8" i="8" s="1"/>
  <c r="J12" i="5"/>
  <c r="F12" i="5"/>
  <c r="F7" i="8" s="1"/>
  <c r="D12" i="5"/>
  <c r="D7" i="8" s="1"/>
  <c r="J11" i="5"/>
  <c r="F11" i="5"/>
  <c r="G11" i="5" s="1"/>
  <c r="G6" i="8" s="1"/>
  <c r="D11" i="5"/>
  <c r="J10" i="5"/>
  <c r="F10" i="5"/>
  <c r="F5" i="8" s="1"/>
  <c r="D10" i="5"/>
  <c r="D5" i="8" s="1"/>
  <c r="J9" i="5"/>
  <c r="F9" i="5"/>
  <c r="G9" i="5" s="1"/>
  <c r="G4" i="8" s="1"/>
  <c r="D9" i="5"/>
  <c r="D4" i="8" s="1"/>
  <c r="J8" i="5"/>
  <c r="F8" i="5"/>
  <c r="F3" i="8" s="1"/>
  <c r="D8" i="5"/>
  <c r="D3" i="8" s="1"/>
  <c r="J7" i="5"/>
  <c r="B4" i="5"/>
  <c r="E7" i="4"/>
  <c r="E18" i="2" s="1"/>
  <c r="F6" i="4"/>
  <c r="D6" i="4"/>
  <c r="I8" i="9" s="1"/>
  <c r="J8" i="9" s="1"/>
  <c r="B6" i="4"/>
  <c r="F24" i="5" s="1"/>
  <c r="A6" i="4"/>
  <c r="F5" i="4"/>
  <c r="D5" i="4"/>
  <c r="I7" i="9" s="1"/>
  <c r="J7" i="9" s="1"/>
  <c r="B5" i="4"/>
  <c r="F4" i="4"/>
  <c r="D4" i="4"/>
  <c r="I6" i="9" s="1"/>
  <c r="J6" i="9" s="1"/>
  <c r="B4" i="4"/>
  <c r="F3" i="4"/>
  <c r="D3" i="4"/>
  <c r="I5" i="9" s="1"/>
  <c r="J5" i="9" s="1"/>
  <c r="B3" i="4"/>
  <c r="F2" i="4"/>
  <c r="D2" i="4"/>
  <c r="I4" i="9" s="1"/>
  <c r="B2" i="4"/>
  <c r="F1" i="4"/>
  <c r="D1" i="4"/>
  <c r="I3" i="9" s="1"/>
  <c r="B1" i="4"/>
  <c r="F39" i="11" s="1"/>
  <c r="D100" i="3"/>
  <c r="D106" i="3" s="1"/>
  <c r="G92" i="3"/>
  <c r="F92" i="3"/>
  <c r="G43" i="3"/>
  <c r="F43" i="3"/>
  <c r="E43" i="3"/>
  <c r="C31" i="3"/>
  <c r="F19" i="3"/>
  <c r="C19" i="3"/>
  <c r="G18" i="3"/>
  <c r="E18" i="3"/>
  <c r="G17" i="3"/>
  <c r="E17" i="3"/>
  <c r="G16" i="3"/>
  <c r="E16" i="3"/>
  <c r="G15" i="3"/>
  <c r="E15" i="3"/>
  <c r="G14" i="3"/>
  <c r="E14" i="3"/>
  <c r="G13" i="3"/>
  <c r="E13" i="3"/>
  <c r="I10" i="2"/>
  <c r="G10" i="2"/>
  <c r="E10" i="2"/>
  <c r="O10" i="2" s="1"/>
  <c r="D10" i="2"/>
  <c r="B10" i="2"/>
  <c r="A10" i="2"/>
  <c r="G9" i="2"/>
  <c r="E9" i="2"/>
  <c r="C9" i="2" s="1"/>
  <c r="D9" i="2"/>
  <c r="B9" i="2"/>
  <c r="I8" i="2"/>
  <c r="G8" i="2"/>
  <c r="E8" i="2"/>
  <c r="O8" i="2" s="1"/>
  <c r="D8" i="2"/>
  <c r="B8" i="2"/>
  <c r="A8" i="2"/>
  <c r="I7" i="2"/>
  <c r="G7" i="2"/>
  <c r="E7" i="2"/>
  <c r="O7" i="2" s="1"/>
  <c r="D7" i="2"/>
  <c r="B7" i="2"/>
  <c r="I6" i="2"/>
  <c r="G6" i="2"/>
  <c r="E6" i="2"/>
  <c r="C6" i="2" s="1"/>
  <c r="D6" i="2"/>
  <c r="B6" i="2"/>
  <c r="A6" i="2"/>
  <c r="I5" i="2"/>
  <c r="G5" i="2"/>
  <c r="E5" i="2"/>
  <c r="O5" i="2" s="1"/>
  <c r="D5" i="2"/>
  <c r="B5" i="2"/>
  <c r="A5" i="2"/>
  <c r="B1" i="2"/>
  <c r="E14" i="7" l="1"/>
  <c r="E30" i="2"/>
  <c r="E22" i="6"/>
  <c r="L7" i="5" s="1"/>
  <c r="M7" i="5" s="1"/>
  <c r="J5" i="2" s="1"/>
  <c r="H5" i="2" s="1"/>
  <c r="D24" i="11"/>
  <c r="D26" i="11"/>
  <c r="E27" i="6"/>
  <c r="L12" i="5" s="1"/>
  <c r="M12" i="5" s="1"/>
  <c r="J10" i="2" s="1"/>
  <c r="H10" i="2" s="1"/>
  <c r="F6" i="8"/>
  <c r="E31" i="7"/>
  <c r="D25" i="11"/>
  <c r="D23" i="11"/>
  <c r="D30" i="11" s="1"/>
  <c r="A4" i="9"/>
  <c r="A5" i="9"/>
  <c r="A4" i="4"/>
  <c r="D27" i="11"/>
  <c r="D29" i="11"/>
  <c r="E19" i="3"/>
  <c r="E25" i="6"/>
  <c r="L10" i="5" s="1"/>
  <c r="M10" i="5" s="1"/>
  <c r="J8" i="2" s="1"/>
  <c r="H8" i="2" s="1"/>
  <c r="D28" i="11"/>
  <c r="G13" i="5"/>
  <c r="G8" i="8" s="1"/>
  <c r="A5" i="4"/>
  <c r="F4" i="8"/>
  <c r="E26" i="6"/>
  <c r="L11" i="5" s="1"/>
  <c r="M11" i="5" s="1"/>
  <c r="J9" i="2" s="1"/>
  <c r="H9" i="2" s="1"/>
  <c r="F20" i="5"/>
  <c r="E4" i="9" s="1"/>
  <c r="F19" i="5"/>
  <c r="G19" i="5" s="1"/>
  <c r="D9" i="9"/>
  <c r="E9" i="8"/>
  <c r="H9" i="9"/>
  <c r="A1" i="4"/>
  <c r="L3" i="9"/>
  <c r="C8" i="2"/>
  <c r="E23" i="6"/>
  <c r="L8" i="5" s="1"/>
  <c r="M8" i="5" s="1"/>
  <c r="J6" i="2" s="1"/>
  <c r="H6" i="2" s="1"/>
  <c r="H92" i="3"/>
  <c r="F7" i="4"/>
  <c r="G19" i="3"/>
  <c r="C7" i="2"/>
  <c r="D14" i="5"/>
  <c r="B9" i="9"/>
  <c r="L5" i="9"/>
  <c r="L6" i="9"/>
  <c r="E24" i="6"/>
  <c r="L9" i="5" s="1"/>
  <c r="M9" i="5" s="1"/>
  <c r="J7" i="2" s="1"/>
  <c r="H7" i="2" s="1"/>
  <c r="I13" i="5"/>
  <c r="I8" i="8" s="1"/>
  <c r="L10" i="2"/>
  <c r="L7" i="2"/>
  <c r="I10" i="5"/>
  <c r="I5" i="8" s="1"/>
  <c r="J4" i="9"/>
  <c r="L4" i="9"/>
  <c r="L8" i="2"/>
  <c r="I11" i="5"/>
  <c r="I6" i="8" s="1"/>
  <c r="I12" i="5"/>
  <c r="I7" i="8" s="1"/>
  <c r="L9" i="2"/>
  <c r="I10" i="9"/>
  <c r="L8" i="9"/>
  <c r="G24" i="5"/>
  <c r="E8" i="9"/>
  <c r="L7" i="9"/>
  <c r="O6" i="2"/>
  <c r="G10" i="5"/>
  <c r="G5" i="8" s="1"/>
  <c r="F19" i="7"/>
  <c r="F31" i="7" s="1"/>
  <c r="B7" i="4"/>
  <c r="F21" i="5"/>
  <c r="C5" i="2"/>
  <c r="C10" i="2"/>
  <c r="O9" i="2"/>
  <c r="C9" i="9"/>
  <c r="F22" i="5"/>
  <c r="D6" i="8"/>
  <c r="D9" i="8" s="1"/>
  <c r="J3" i="9"/>
  <c r="B31" i="3"/>
  <c r="G8" i="5"/>
  <c r="G12" i="5"/>
  <c r="G7" i="8" s="1"/>
  <c r="F23" i="5"/>
  <c r="F40" i="11"/>
  <c r="F41" i="11"/>
  <c r="E3" i="9" l="1"/>
  <c r="G20" i="5"/>
  <c r="F4" i="9" s="1"/>
  <c r="F25" i="5"/>
  <c r="E23" i="2" s="1"/>
  <c r="D31" i="3"/>
  <c r="E31" i="2"/>
  <c r="E7" i="9"/>
  <c r="G23" i="5"/>
  <c r="G22" i="5"/>
  <c r="E6" i="9"/>
  <c r="L6" i="2"/>
  <c r="I9" i="5"/>
  <c r="I4" i="8" s="1"/>
  <c r="K5" i="2"/>
  <c r="F3" i="9"/>
  <c r="K10" i="2"/>
  <c r="F8" i="9"/>
  <c r="G14" i="5"/>
  <c r="G3" i="8"/>
  <c r="G9" i="8" s="1"/>
  <c r="G21" i="5"/>
  <c r="E5" i="9"/>
  <c r="I8" i="5"/>
  <c r="J10" i="9"/>
  <c r="L5" i="2"/>
  <c r="E17" i="2"/>
  <c r="E19" i="2"/>
  <c r="E21" i="2"/>
  <c r="E9" i="9" l="1"/>
  <c r="K6" i="2"/>
  <c r="L12" i="2"/>
  <c r="E27" i="2" s="1"/>
  <c r="I14" i="5"/>
  <c r="I3" i="8"/>
  <c r="I9" i="8" s="1"/>
  <c r="K7" i="2"/>
  <c r="F5" i="9"/>
  <c r="F7" i="9"/>
  <c r="K9" i="2"/>
  <c r="G25" i="5"/>
  <c r="E24" i="2" s="1"/>
  <c r="E25" i="2"/>
  <c r="K8" i="2"/>
  <c r="F6" i="9"/>
  <c r="K11" i="2" l="1"/>
  <c r="F9" i="9"/>
</calcChain>
</file>

<file path=xl/sharedStrings.xml><?xml version="1.0" encoding="utf-8"?>
<sst xmlns="http://schemas.openxmlformats.org/spreadsheetml/2006/main" count="564" uniqueCount="335">
  <si>
    <t>Last Updated:</t>
  </si>
  <si>
    <t>MASTER DASHBOARD</t>
  </si>
  <si>
    <t>Project</t>
  </si>
  <si>
    <t>Phase</t>
  </si>
  <si>
    <t>Schedule Status</t>
  </si>
  <si>
    <t>Contract Finish</t>
  </si>
  <si>
    <t>Forecast Finish</t>
  </si>
  <si>
    <t>Baseline Slip (days)</t>
  </si>
  <si>
    <t>Variartion (Days)</t>
  </si>
  <si>
    <t>Budget Status</t>
  </si>
  <si>
    <t>Projected Cost</t>
  </si>
  <si>
    <t>Schedule Variance ($SV)</t>
  </si>
  <si>
    <t>Projected Margin</t>
  </si>
  <si>
    <t>Weekly Burn Rate</t>
  </si>
  <si>
    <t>Cashflow Lookahead (7Days)</t>
  </si>
  <si>
    <t>Cashflow Lookahead (30Days)</t>
  </si>
  <si>
    <t>Days to PC</t>
  </si>
  <si>
    <t>Avg Margin</t>
  </si>
  <si>
    <t>Total Weekly Burn</t>
  </si>
  <si>
    <t xml:space="preserve"> C/F 7 Days </t>
  </si>
  <si>
    <t xml:space="preserve">  WIP SUMMARY</t>
  </si>
  <si>
    <t>PC</t>
  </si>
  <si>
    <t>Practical Completion</t>
  </si>
  <si>
    <t>Metric</t>
  </si>
  <si>
    <t>Value</t>
  </si>
  <si>
    <t>Context</t>
  </si>
  <si>
    <t>SV</t>
  </si>
  <si>
    <t>Schedule Variance</t>
  </si>
  <si>
    <t>difference between the value of work actually completed and the value of work that was planned to be completed by this point — a positive number means you're ahead of schedule, negative means you're behind</t>
  </si>
  <si>
    <t>Total Live Contract Value</t>
  </si>
  <si>
    <t>Sum of all revised client prices across active projects</t>
  </si>
  <si>
    <t>EV</t>
  </si>
  <si>
    <t>Earned Value</t>
  </si>
  <si>
    <t>the dollar value of work actually completed to date, based on your original budget.</t>
  </si>
  <si>
    <t>Total Actual Costs to Date</t>
  </si>
  <si>
    <t>Actual costs incurred to date across all live sites</t>
  </si>
  <si>
    <t>PV</t>
  </si>
  <si>
    <t>Planned Value</t>
  </si>
  <si>
    <t>the dollar value of work that was supposed to be completed by this point in time, based on your original schedule</t>
  </si>
  <si>
    <t>WIP Value (Unbilled Work)</t>
  </si>
  <si>
    <t>Contract value not yet converted to revenue — work in progress</t>
  </si>
  <si>
    <t>SV =</t>
  </si>
  <si>
    <t>EV - PV</t>
  </si>
  <si>
    <t>Total Projected Revenue</t>
  </si>
  <si>
    <t>Total revised client price — full portfolio value</t>
  </si>
  <si>
    <t>Total Projected Cost</t>
  </si>
  <si>
    <t>Sum of all projected costs from Deep Dive</t>
  </si>
  <si>
    <t>Projected Gross Profit</t>
  </si>
  <si>
    <t>Projected profit across all active projects</t>
  </si>
  <si>
    <t>Blended Projected Margin</t>
  </si>
  <si>
    <t>Weighted average margin — goal is 26.0%</t>
  </si>
  <si>
    <t>Blended Over/Under Billing</t>
  </si>
  <si>
    <t>Total projects collective over/under billing</t>
  </si>
  <si>
    <t>Total Weekly Burn Rate</t>
  </si>
  <si>
    <t>Combined weekly spend rate across all live sites</t>
  </si>
  <si>
    <t>7-Day Cashflow Outlook</t>
  </si>
  <si>
    <t>Net cashflow expected in next 7 days (negative = outflow)</t>
  </si>
  <si>
    <t>30-Day Cashflow Outlook</t>
  </si>
  <si>
    <t>Net cashflow expected in next 30 days (negative = outflow)</t>
  </si>
  <si>
    <t>Active Projects</t>
  </si>
  <si>
    <t>Number of projects currently under construction</t>
  </si>
  <si>
    <t>Avg Days to Practical Completion</t>
  </si>
  <si>
    <t>Average working days remaining to PC across all projects</t>
  </si>
  <si>
    <t>Job name</t>
  </si>
  <si>
    <t>Revised client price</t>
  </si>
  <si>
    <t>Projected costs</t>
  </si>
  <si>
    <t>Actual costs</t>
  </si>
  <si>
    <t>Amount invoiced</t>
  </si>
  <si>
    <t>% complete of job</t>
  </si>
  <si>
    <t>Projected profit</t>
  </si>
  <si>
    <t>Projected profit %</t>
  </si>
  <si>
    <t>Earned revenue</t>
  </si>
  <si>
    <t>Over/under billing</t>
  </si>
  <si>
    <t>Over/under billing %</t>
  </si>
  <si>
    <t>Profit earned</t>
  </si>
  <si>
    <t>Last Updated</t>
  </si>
  <si>
    <t>1/55 Melbourne Ave, Glenroy Vic 3046</t>
  </si>
  <si>
    <t>105 Greythorn Rd - Downstairs Works</t>
  </si>
  <si>
    <t>11-15 Station Street, Diamond Creek - FC</t>
  </si>
  <si>
    <t>115 Normanby Rd, Kew East</t>
  </si>
  <si>
    <t>119 McIlwraith St - FC</t>
  </si>
  <si>
    <t>17 Glyndon Ave - FC</t>
  </si>
  <si>
    <t>22 Longstaff St - Boundary Wall - FC</t>
  </si>
  <si>
    <t>29 River Gum Close, Diamond Creek FC</t>
  </si>
  <si>
    <t>3 Uvadale Grove, Kew</t>
  </si>
  <si>
    <t>30 Connolly Ave, Coburg - FC</t>
  </si>
  <si>
    <t>37 Keam Street, Ivanhoe East Prelim Design</t>
  </si>
  <si>
    <t>37 Robinson St Moonee Ponds - FC</t>
  </si>
  <si>
    <t>421 The Boulevard, Ivanhoe East</t>
  </si>
  <si>
    <t>49 Kamarooka Drive Wattle Glen 3096</t>
  </si>
  <si>
    <t>5 Woodhill Close, Research FC</t>
  </si>
  <si>
    <t>63 Albert Street, Brunswick</t>
  </si>
  <si>
    <t>73 Somers Ave, Macleod FC</t>
  </si>
  <si>
    <t>801 Main Hurstbridge Rd Design</t>
  </si>
  <si>
    <t>801 Main Hurstbridge Road FC</t>
  </si>
  <si>
    <t>89 Glen Park Road, Eltham North FC</t>
  </si>
  <si>
    <t xml:space="preserve">  OTHER CONSTRUCTION METRICS</t>
  </si>
  <si>
    <t>Auto-calculated where possible. Yellow cells require manual input.</t>
  </si>
  <si>
    <t xml:space="preserve">  1.  RETENTION TRACKING  —  Architect-Administered Contracts Only</t>
  </si>
  <si>
    <t>Retention only applies to architect-administered contracts. Set Contract Type to "Architect" to activate retention calculations — standard builder-client contracts show $0 automatically. Yellow cells = manual input.</t>
  </si>
  <si>
    <t>Contract Type</t>
  </si>
  <si>
    <t>Contract Value ($)</t>
  </si>
  <si>
    <t>Retention %</t>
  </si>
  <si>
    <t>Retention Held ($)</t>
  </si>
  <si>
    <t>Retention Released ($)</t>
  </si>
  <si>
    <t>Net Retention ($)</t>
  </si>
  <si>
    <t>Release Trigger</t>
  </si>
  <si>
    <t>Standard</t>
  </si>
  <si>
    <t>TOTALS</t>
  </si>
  <si>
    <t xml:space="preserve">  Tip: Change Column B to "Architect" for any architect-administered job to activate retention calculations.</t>
  </si>
  <si>
    <t xml:space="preserve">  2.  FINAL CLAIM TRACKER</t>
  </si>
  <si>
    <t>Tracks the outstanding final progress claim for each project. On standard contracts the final claim = remaining contract balance. Enter the amount submitted and date — status calculates automatically.</t>
  </si>
  <si>
    <t>Claimed to Date ($)</t>
  </si>
  <si>
    <t>Final Claim Amount ($)</t>
  </si>
  <si>
    <t>Date Submitted</t>
  </si>
  <si>
    <t>Days Outstanding</t>
  </si>
  <si>
    <t>Status</t>
  </si>
  <si>
    <t>Notes</t>
  </si>
  <si>
    <t>11-15 Station St</t>
  </si>
  <si>
    <t>17 Glydon Ave</t>
  </si>
  <si>
    <t>29 River Gum Close</t>
  </si>
  <si>
    <t>30 Connelly</t>
  </si>
  <si>
    <t>37 Robinson Street</t>
  </si>
  <si>
    <t>Any variation marked as pending will be shown here. Any approved variations will also be shown here.</t>
  </si>
  <si>
    <t>3.  VARIATION $ VALUE</t>
  </si>
  <si>
    <t>Variation Days</t>
  </si>
  <si>
    <t>Variation Value ($)</t>
  </si>
  <si>
    <t>Approved?</t>
  </si>
  <si>
    <t>Pending Variation     Value ($)</t>
  </si>
  <si>
    <t>104/108 Lygon Street</t>
  </si>
  <si>
    <t>13 Glydon Ave</t>
  </si>
  <si>
    <t>47 Bellavista Court</t>
  </si>
  <si>
    <t>Subcontractor</t>
  </si>
  <si>
    <t>Trade</t>
  </si>
  <si>
    <t>All Secure Locksmiths</t>
  </si>
  <si>
    <t>Door Hardware MATERIALS ONLY</t>
  </si>
  <si>
    <t>DECAV Pty Ltd</t>
  </si>
  <si>
    <t>Electrical</t>
  </si>
  <si>
    <t>Everlasting Air</t>
  </si>
  <si>
    <t>Air Conditioning</t>
  </si>
  <si>
    <t>Flooring Xtra Thomastown</t>
  </si>
  <si>
    <t>Carpet</t>
  </si>
  <si>
    <t>JCB Plumbing &amp; Maintenance</t>
  </si>
  <si>
    <t>Plumbing &amp; Drainage</t>
  </si>
  <si>
    <t>MS Paterson Painting and Decorating</t>
  </si>
  <si>
    <t>Painting</t>
  </si>
  <si>
    <t>Metro Lock</t>
  </si>
  <si>
    <t>Electrical - CCTV</t>
  </si>
  <si>
    <t>Borella Kitchens &amp; Joinery</t>
  </si>
  <si>
    <t>Cabinet Maker</t>
  </si>
  <si>
    <t>Mitre 10 Diamond Creek</t>
  </si>
  <si>
    <t>Timber Supply - Cladding MATERIALS ONLY</t>
  </si>
  <si>
    <t>Thermawood Yarra Merri-bek</t>
  </si>
  <si>
    <t>Windows &amp; Doors - Glazing</t>
  </si>
  <si>
    <t>Ahearn Roofing</t>
  </si>
  <si>
    <t>Roofing - Fascia &amp; Gutter</t>
  </si>
  <si>
    <t>MCG Windows</t>
  </si>
  <si>
    <t>Windows &amp; Doors - Aluminium MATERIALS ONLY</t>
  </si>
  <si>
    <t>Pride Insulation</t>
  </si>
  <si>
    <t>Insulation - Supply &amp; Install</t>
  </si>
  <si>
    <t>Trade Alliance</t>
  </si>
  <si>
    <t>Concrete - Supply MATERIALS ONLY</t>
  </si>
  <si>
    <t>Insulite Pty Ltd</t>
  </si>
  <si>
    <t>Roofing - Sky Lights / Whirly Birds</t>
  </si>
  <si>
    <t>8. PURCHASE ORDERS</t>
  </si>
  <si>
    <t>Subcontractor POs which are approved and/or sent but works are not completed</t>
  </si>
  <si>
    <t>Estimated Completion</t>
  </si>
  <si>
    <t>Cost</t>
  </si>
  <si>
    <t>Amount Paid</t>
  </si>
  <si>
    <t>Partially Paid</t>
  </si>
  <si>
    <t>Not Paid</t>
  </si>
  <si>
    <t>TOTAL NON COMPLETED PO COST</t>
  </si>
  <si>
    <t>9.  DEFECTS &amp; RECTIFICATION COSTS</t>
  </si>
  <si>
    <t>Defect Description</t>
  </si>
  <si>
    <t>Identified Date</t>
  </si>
  <si>
    <t>Rectification Cost ($)</t>
  </si>
  <si>
    <t>Impact on Margin</t>
  </si>
  <si>
    <t>Responsible Party</t>
  </si>
  <si>
    <t>TOTAL RECTIFICATION COST</t>
  </si>
  <si>
    <t>Revised Client Price</t>
  </si>
  <si>
    <t>Start Date</t>
  </si>
  <si>
    <t>Live (days)</t>
  </si>
  <si>
    <t>Actual Costs</t>
  </si>
  <si>
    <t>APTD</t>
  </si>
  <si>
    <t>(amount paid to date)</t>
  </si>
  <si>
    <t>DEEP DIVE</t>
  </si>
  <si>
    <t>Month on Month</t>
  </si>
  <si>
    <t>SCHEDULE FINISH DATE VS CONTRACT FINISH DATE (DEEP DIVE)</t>
  </si>
  <si>
    <t>SV = EV-PV</t>
  </si>
  <si>
    <t>Project Address</t>
  </si>
  <si>
    <t>Projected Finish</t>
  </si>
  <si>
    <t>Signed Contract Finish Date</t>
  </si>
  <si>
    <t>Diff btw Contract Finish &amp; Current Schedule Finsh  (WD)</t>
  </si>
  <si>
    <t>Approved Variation Days</t>
  </si>
  <si>
    <t>New Finish Date With Variations</t>
  </si>
  <si>
    <t>PHASE of CONSTRUCTION</t>
  </si>
  <si>
    <t>Burnrate (WKLY)</t>
  </si>
  <si>
    <t>Carpentry</t>
  </si>
  <si>
    <t>FRAMEWORKS</t>
  </si>
  <si>
    <t>49 Kamarooka Drive </t>
  </si>
  <si>
    <t xml:space="preserve">Finishing &amp; Handover </t>
  </si>
  <si>
    <t>Total Variance (AVG DAYS)</t>
  </si>
  <si>
    <t>Total Saved/Burnt</t>
  </si>
  <si>
    <t>BUDGET SUMMARY (DEEP DIVE)</t>
  </si>
  <si>
    <t>Original Estimate</t>
  </si>
  <si>
    <t>Revised Budget</t>
  </si>
  <si>
    <t>Projected Costs higher than Revised Estimate</t>
  </si>
  <si>
    <t xml:space="preserve">Projected Profit </t>
  </si>
  <si>
    <t>Starting Margin</t>
  </si>
  <si>
    <t>Goal Margin</t>
  </si>
  <si>
    <t>Total/Avg Overall</t>
  </si>
  <si>
    <t>Labour</t>
  </si>
  <si>
    <t>PM</t>
  </si>
  <si>
    <t>Total Tasks</t>
  </si>
  <si>
    <t>Task Completed</t>
  </si>
  <si>
    <t>Actual  % Complete</t>
  </si>
  <si>
    <t>Planned  % Complete</t>
  </si>
  <si>
    <t>Days Elapsed</t>
  </si>
  <si>
    <t>Contract days</t>
  </si>
  <si>
    <t>Variation days</t>
  </si>
  <si>
    <t>Project Start Date</t>
  </si>
  <si>
    <t>Current Schedule Finish Date</t>
  </si>
  <si>
    <t>Date of Completion</t>
  </si>
  <si>
    <t>Project Completed in (days)</t>
  </si>
  <si>
    <t xml:space="preserve">73 Fenwick St </t>
  </si>
  <si>
    <t>Total Completion (AVG DAYS)</t>
  </si>
  <si>
    <t>Original Estimate (Builders cost)</t>
  </si>
  <si>
    <t>Project Cost</t>
  </si>
  <si>
    <t>Final Profit ($$)</t>
  </si>
  <si>
    <t>Final Profit Margin (%)</t>
  </si>
  <si>
    <t>*outlier</t>
  </si>
  <si>
    <t>Total Overall</t>
  </si>
  <si>
    <t>Diff btw Contract Finish to Current Schedule Finsh  (WD)</t>
  </si>
  <si>
    <t>Diff btw Variations Finish to Current Schedule Finish  (WD)</t>
  </si>
  <si>
    <t>Burnrate saved/burnt</t>
  </si>
  <si>
    <t>INTERNAL L/U PLASTER BATTENS</t>
  </si>
  <si>
    <t>COMMENCEMENT 16/2</t>
  </si>
  <si>
    <t>EARTHWORKS</t>
  </si>
  <si>
    <t>TILING/WINDOWS</t>
  </si>
  <si>
    <t>COMMENCEMENT 10/3 PENDING CONTRACTS</t>
  </si>
  <si>
    <t xml:space="preserve">Original Estimate </t>
  </si>
  <si>
    <t xml:space="preserve">Revised Estimate </t>
  </si>
  <si>
    <t xml:space="preserve">Projected Cost </t>
  </si>
  <si>
    <t>Daily Burn Rate</t>
  </si>
  <si>
    <t>% Budget Burned</t>
  </si>
  <si>
    <t>Projected Days to Exhaust Budget</t>
  </si>
  <si>
    <t>Total Overall/ Averages</t>
  </si>
  <si>
    <t>Total Burn Rates</t>
  </si>
  <si>
    <t>Charts</t>
  </si>
  <si>
    <t>Correct as of</t>
  </si>
  <si>
    <t>PROJECT SUMMARY</t>
  </si>
  <si>
    <t>25/08/2025 09:15</t>
  </si>
  <si>
    <t>Contract Finish Vs Baseline Finish</t>
  </si>
  <si>
    <t>LEGEND</t>
  </si>
  <si>
    <t>Schedule Finish Vs Baseline Finish</t>
  </si>
  <si>
    <t>Approved Contract Variation Days</t>
  </si>
  <si>
    <t>BT Baseline Finish Date</t>
  </si>
  <si>
    <t>Difference (WORKINGDAYS)</t>
  </si>
  <si>
    <t>New Contract Finish Date With Variations</t>
  </si>
  <si>
    <t>Ahead of Contract Finish</t>
  </si>
  <si>
    <t>89 Glen Park Rd</t>
  </si>
  <si>
    <t>Behind on Contract Finish</t>
  </si>
  <si>
    <t>73 Somers Ave</t>
  </si>
  <si>
    <t>At Risk</t>
  </si>
  <si>
    <t>On Schedule</t>
  </si>
  <si>
    <t>358 Barkly Street</t>
  </si>
  <si>
    <t>New Contract Finish Date</t>
  </si>
  <si>
    <t>119 McIlwraith ST</t>
  </si>
  <si>
    <t>5 Woodhill Close</t>
  </si>
  <si>
    <t>Total Variance</t>
  </si>
  <si>
    <t>Schedule Finish Vs Contract Finish</t>
  </si>
  <si>
    <t>Budget summary</t>
  </si>
  <si>
    <t>Original Estimate (Builders Price)</t>
  </si>
  <si>
    <t>Revised Estimate (Builders Price)</t>
  </si>
  <si>
    <t>Projected Cost (Builders Cost)</t>
  </si>
  <si>
    <t>Projected Profit (Builders Profit)</t>
  </si>
  <si>
    <t>Health Budget &gt;=20%</t>
  </si>
  <si>
    <t>Unhealthy Budget &lt;=15%</t>
  </si>
  <si>
    <t>Borderline &gt;15% - &lt;20%</t>
  </si>
  <si>
    <t>Author</t>
  </si>
  <si>
    <t>Specific Book / Series Title</t>
  </si>
  <si>
    <t>Why this specific resource?</t>
  </si>
  <si>
    <t>Gene Wolfe</t>
  </si>
  <si>
    <t>The Book of the New Sun</t>
  </si>
  <si>
    <t>A tetralogy. For the full experience, you need: The Shadow of the Torturer, The Claw of the Conciliator, The Sword of the Lictor, and The Citadel of the Autarch.</t>
  </si>
  <si>
    <t>Ursula K. Le Guin</t>
  </si>
  <si>
    <t>The Left Hand of Darkness</t>
  </si>
  <si>
    <t>A standalone novel. This is the gold standard for her "Hainish Cycle" prose.</t>
  </si>
  <si>
    <t>M. John Harrison</t>
  </si>
  <si>
    <t>Light</t>
  </si>
  <si>
    <t>The first book of the Kefahuchi Tract trilogy. It contains his most "fragmented and hallucinatory" prose.</t>
  </si>
  <si>
    <t>N.K. Jemisin</t>
  </si>
  <si>
    <t>The Fifth Season</t>
  </si>
  <si>
    <t>Book 1 of The Broken Earth trilogy. This is where the second-person narration is most impactful.</t>
  </si>
  <si>
    <t>China Miéville</t>
  </si>
  <si>
    <t>Perdido Street Station</t>
  </si>
  <si>
    <t>The first of the Bas-Lag novels. It is the densest example of his "Grotesque Victorian" style.</t>
  </si>
  <si>
    <t>Samuel R. Delany</t>
  </si>
  <si>
    <t>Dhalgren</t>
  </si>
  <si>
    <t>A massive standalone novel. Its cyclical, experimental structure is what the AI needs to see.</t>
  </si>
  <si>
    <t>Kelly Link</t>
  </si>
  <si>
    <t>Get in Trouble</t>
  </si>
  <si>
    <t>A short story collection. Since Link is a master of the short form, the AI needs the full collection to see her range.</t>
  </si>
  <si>
    <t>Ted Chiang</t>
  </si>
  <si>
    <t>Exhalation</t>
  </si>
  <si>
    <t>A collection. Specifically ensure the file includes "Story of Your Life" (often found in his first collection, Stories of Your Life and Others, though you mentioned Exhalation).</t>
  </si>
  <si>
    <t>Jeff VanderMeer</t>
  </si>
  <si>
    <t>Annihilation</t>
  </si>
  <si>
    <t>Book 1 of the Southern Reach trilogy. This is the tightest, most "mutating" example of his eco-horror prose.</t>
  </si>
  <si>
    <t>Kazuo Ishiguro</t>
  </si>
  <si>
    <t>Never Let Me Go</t>
  </si>
  <si>
    <t>A standalone novel. The best resource for studying his "devastating restraint."</t>
  </si>
  <si>
    <t>Projects Practical Completion</t>
  </si>
  <si>
    <t>* All days measured in WORKING DAYS</t>
  </si>
  <si>
    <t>Diff btw Variations Finish &amp; Current Schedule Finish</t>
  </si>
  <si>
    <t xml:space="preserve">801 MHBR </t>
  </si>
  <si>
    <t>73 Somers Ave,</t>
  </si>
  <si>
    <t>89 Glen Park Road</t>
  </si>
  <si>
    <t>801 MHBR</t>
  </si>
  <si>
    <t>nan</t>
  </si>
  <si>
    <t>None</t>
  </si>
  <si>
    <t>Electrical - Security Alarm System</t>
  </si>
  <si>
    <t>Victorian Commercial Gates and Fencing</t>
  </si>
  <si>
    <t>Garage Doors</t>
  </si>
  <si>
    <t>Awning/Hoods / Privacy Screens MATERIALS ONLY</t>
  </si>
  <si>
    <t>VLS Plastering</t>
  </si>
  <si>
    <t>Plastering</t>
  </si>
  <si>
    <t>BLAS Maintenance Services</t>
  </si>
  <si>
    <t>House Cleaner</t>
  </si>
  <si>
    <t>Carpentry Labour - Timber Flooring</t>
  </si>
  <si>
    <t>Vinyl Flooring</t>
  </si>
  <si>
    <t>Stanislovas Gecevicius Plasterer</t>
  </si>
  <si>
    <t>150 Banksia St</t>
  </si>
  <si>
    <t>1-55 Melbourne Ave</t>
  </si>
  <si>
    <t>Site Preparation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</si>
</sst>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4" formatCode="_-&quot;$&quot;* #,##0.00_-;\-&quot;$&quot;* #,##0.00_-;_-&quot;$&quot;* &quot;-&quot;??_-;_-@_-"/>
    <numFmt numFmtId="164" formatCode="m/d/yyyy"/>
    <numFmt numFmtId="165" formatCode="\$#,##0.00;[Red]&quot;-$&quot;#,##0.00"/>
    <numFmt numFmtId="166" formatCode="[$-F800]dddd&quot;, &quot;mmmm\ dd&quot;, &quot;yyyy"/>
    <numFmt numFmtId="167" formatCode="_-\$* #,##0.00_-;&quot;-$&quot;* #,##0.00_-;_-\$* \-??_-;_-@_-"/>
    <numFmt numFmtId="168" formatCode="\$#,##0"/>
    <numFmt numFmtId="169" formatCode="m/d/yyyy\ h:mm"/>
    <numFmt numFmtId="170" formatCode="[$-C09]dd\-mmmm\-yyyy;@"/>
    <numFmt numFmtId="171" formatCode="\$#,##0_-"/>
    <numFmt numFmtId="172" formatCode="dd/mm/yyyy"/>
    <numFmt numFmtId="173" formatCode="0.0%"/>
    <numFmt numFmtId="174" formatCode="_-\$* #,##0_-;&quot;-$&quot;* #,##0_-;_-\$* \-??_-;_-@_-"/>
    <numFmt numFmtId="175" formatCode="\$#,##0;[Red]&quot;-$&quot;#,##0"/>
    <numFmt numFmtId="176" formatCode="d/mm/yyyy;@"/>
    <numFmt numFmtId="177" formatCode="d"/>
    <numFmt numFmtId="178" formatCode="\$#,##0.00_-"/>
    <numFmt numFmtId="179" formatCode="\$#,##0.00"/>
    <numFmt numFmtId="180" formatCode="&quot;$&quot;#,##0.00"/>
  </numFmts>
  <fonts count="60" x14ac:knownFonts="1">
    <font>
      <sz val="11"/>
      <color theme="1"/>
      <name val="Calibri"/>
      <family val="2"/>
      <charset val="1"/>
    </font>
    <font>
      <b/>
      <sz val="11"/>
      <color theme="1" tint="0.3498947111423078"/>
      <name val="Calibri"/>
      <family val="2"/>
      <charset val="1"/>
    </font>
    <font>
      <b/>
      <sz val="11"/>
      <color theme="1" tint="0.3498947111423078"/>
      <name val="Calibri"/>
      <family val="2"/>
      <charset val="238"/>
    </font>
    <font>
      <sz val="11"/>
      <color theme="1"/>
      <name val="Calibri Light"/>
      <family val="1"/>
      <charset val="1"/>
    </font>
    <font>
      <sz val="35"/>
      <color theme="1"/>
      <name val="Calibri Light"/>
      <family val="1"/>
      <charset val="1"/>
    </font>
    <font>
      <b/>
      <sz val="11"/>
      <color theme="1"/>
      <name val="Calibri"/>
      <family val="2"/>
      <charset val="1"/>
    </font>
    <font>
      <b/>
      <sz val="26"/>
      <name val="Calibri"/>
      <family val="2"/>
      <charset val="1"/>
    </font>
    <font>
      <b/>
      <sz val="11"/>
      <color rgb="FFFFFFFF"/>
      <name val="Calibri"/>
      <family val="2"/>
      <charset val="1"/>
    </font>
    <font>
      <b/>
      <sz val="11"/>
      <color theme="0"/>
      <name val="Calibri"/>
      <family val="2"/>
      <charset val="1"/>
    </font>
    <font>
      <b/>
      <sz val="11"/>
      <name val="Calibri"/>
      <family val="2"/>
      <charset val="1"/>
    </font>
    <font>
      <sz val="11"/>
      <name val="Calibri"/>
      <family val="2"/>
      <charset val="1"/>
    </font>
    <font>
      <sz val="11"/>
      <color theme="0"/>
      <name val="Calibri"/>
      <family val="2"/>
      <charset val="1"/>
    </font>
    <font>
      <sz val="11"/>
      <color rgb="FF006100"/>
      <name val="Calibri"/>
      <family val="2"/>
      <charset val="1"/>
    </font>
    <font>
      <b/>
      <sz val="13"/>
      <color rgb="FFFFFFFF"/>
      <name val="Calibri"/>
      <charset val="1"/>
    </font>
    <font>
      <b/>
      <sz val="11"/>
      <color rgb="FFFFFFFF"/>
      <name val="Calibri"/>
      <charset val="1"/>
    </font>
    <font>
      <sz val="11"/>
      <color rgb="FF1F3864"/>
      <name val="Calibri"/>
      <charset val="1"/>
    </font>
    <font>
      <i/>
      <sz val="9"/>
      <color rgb="FF7F7F7F"/>
      <name val="Calibri"/>
      <charset val="1"/>
    </font>
    <font>
      <b/>
      <sz val="11"/>
      <color rgb="FF202227"/>
      <name val="Segoe UI"/>
      <family val="2"/>
      <charset val="1"/>
    </font>
    <font>
      <sz val="10"/>
      <color theme="1"/>
      <name val="Calibri"/>
      <family val="2"/>
      <charset val="1"/>
    </font>
    <font>
      <b/>
      <u/>
      <sz val="12"/>
      <color theme="1"/>
      <name val="Calibri"/>
      <family val="2"/>
      <charset val="1"/>
    </font>
    <font>
      <b/>
      <i/>
      <sz val="11"/>
      <color theme="1"/>
      <name val="Calibri"/>
      <family val="2"/>
      <charset val="1"/>
    </font>
    <font>
      <sz val="11"/>
      <color rgb="FF202227"/>
      <name val="Segoe UI"/>
      <family val="2"/>
      <charset val="1"/>
    </font>
    <font>
      <b/>
      <sz val="11"/>
      <color rgb="FF1F1F1F"/>
      <name val="Arial"/>
      <family val="2"/>
      <charset val="1"/>
    </font>
    <font>
      <b/>
      <i/>
      <sz val="11"/>
      <color rgb="FF1F1F1F"/>
      <name val="Arial"/>
      <family val="2"/>
      <charset val="1"/>
    </font>
    <font>
      <sz val="11"/>
      <color rgb="FF1F1F1F"/>
      <name val="Arial"/>
      <family val="2"/>
      <charset val="1"/>
    </font>
    <font>
      <sz val="12"/>
      <color rgb="FF212529"/>
      <name val="Segoe UI"/>
      <family val="2"/>
      <charset val="1"/>
    </font>
    <font>
      <sz val="10"/>
      <color rgb="FF000000"/>
      <name val="Calibri"/>
      <family val="2"/>
    </font>
    <font>
      <b/>
      <sz val="16"/>
      <color theme="1"/>
      <name val="Calibri"/>
      <family val="2"/>
      <charset val="1"/>
    </font>
    <font>
      <b/>
      <sz val="14"/>
      <color rgb="FFFFFFFF"/>
      <name val="Calibri"/>
      <charset val="1"/>
    </font>
    <font>
      <i/>
      <sz val="9"/>
      <color rgb="FF595959"/>
      <name val="Calibri"/>
      <charset val="1"/>
    </font>
    <font>
      <sz val="11"/>
      <color rgb="FF000000"/>
      <name val="Calibri"/>
      <charset val="1"/>
    </font>
    <font>
      <i/>
      <sz val="9"/>
      <color rgb="FF7F7F7F"/>
      <name val="Calibri"/>
      <family val="2"/>
    </font>
    <font>
      <b/>
      <sz val="12"/>
      <color rgb="FFFFFFFF"/>
      <name val="Calibri"/>
      <family val="2"/>
    </font>
    <font>
      <i/>
      <sz val="9"/>
      <color rgb="FF595959"/>
      <name val="Calibri"/>
      <family val="2"/>
    </font>
    <font>
      <b/>
      <sz val="11"/>
      <color rgb="FFFFFFFF"/>
      <name val="Calibri"/>
      <family val="2"/>
    </font>
    <font>
      <sz val="11"/>
      <color rgb="FF1F3864"/>
      <name val="Calibri"/>
      <family val="2"/>
    </font>
    <font>
      <b/>
      <sz val="10"/>
      <color rgb="FF375623"/>
      <name val="Calibri"/>
      <family val="2"/>
    </font>
    <font>
      <i/>
      <sz val="9"/>
      <color rgb="FF375623"/>
      <name val="Calibri"/>
      <family val="2"/>
    </font>
    <font>
      <sz val="11"/>
      <color theme="1"/>
      <name val="Calibri"/>
      <family val="2"/>
      <charset val="1"/>
    </font>
    <font>
      <sz val="11"/>
      <color indexed="64"/>
      <name val="Calibri"/>
      <family val="2"/>
    </font>
    <font>
      <sz val="11"/>
      <color rgb="FFFFFFFF"/>
      <name val="Calibri"/>
      <family val="2"/>
    </font>
    <font>
      <b/>
      <sz val="10"/>
      <color rgb="FFFFFFFF"/>
      <name val="Calibri"/>
      <family val="2"/>
    </font>
    <font>
      <sz val="10"/>
      <color theme="1"/>
      <name val="Calibri"/>
      <family val="2"/>
    </font>
    <font>
      <sz val="11"/>
      <name val="Calibri"/>
      <family val="2"/>
    </font>
    <font>
      <b/>
      <sz val="10"/>
      <color theme="1"/>
      <name val="Calibri"/>
      <family val="2"/>
      <charset val="1"/>
    </font>
    <font>
      <sz val="10"/>
      <color rgb="FF006100"/>
      <name val="Calibri"/>
      <family val="2"/>
      <charset val="1"/>
    </font>
    <font>
      <b/>
      <sz val="10"/>
      <name val="Calibri"/>
      <family val="2"/>
      <charset val="1"/>
    </font>
    <font>
      <b/>
      <u/>
      <sz val="12"/>
      <color theme="0"/>
      <name val="Calibri"/>
      <family val="2"/>
      <charset val="1"/>
    </font>
    <font>
      <b/>
      <sz val="10"/>
      <color rgb="FFFFFFFF"/>
      <name val="Calibri"/>
      <family val="2"/>
      <charset val="1"/>
    </font>
    <font>
      <b/>
      <sz val="10"/>
      <color theme="0"/>
      <name val="Calibri"/>
      <family val="2"/>
      <charset val="1"/>
    </font>
    <font>
      <sz val="10"/>
      <color rgb="FFFF0000"/>
      <name val="Calibri"/>
      <family val="2"/>
    </font>
    <font>
      <sz val="10"/>
      <name val="Calibri"/>
      <family val="2"/>
    </font>
    <font>
      <sz val="11"/>
      <color theme="2"/>
      <name val="Calibri"/>
      <family val="2"/>
      <charset val="1"/>
    </font>
    <font>
      <b/>
      <i/>
      <u/>
      <sz val="11"/>
      <color theme="1"/>
      <name val="Calibri"/>
      <family val="2"/>
      <charset val="1"/>
    </font>
    <font>
      <b/>
      <sz val="11"/>
      <color rgb="FF000000"/>
      <name val="Calibri"/>
      <charset val="1"/>
    </font>
    <font>
      <b/>
      <sz val="11"/>
      <color rgb="FF1F3864"/>
      <name val="Calibri"/>
      <charset val="1"/>
    </font>
    <font>
      <b/>
      <sz val="11"/>
      <name val="Calibri"/>
      <family val="2"/>
    </font>
    <font>
      <b/>
      <sz val="11"/>
      <color rgb="FFFF0000"/>
      <name val="Calibri"/>
      <charset val="1"/>
    </font>
    <font>
      <i/>
      <sz val="10"/>
      <color theme="1"/>
      <name val="Calibri"/>
      <family val="2"/>
      <charset val="1"/>
    </font>
    <font>
      <b/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theme="0" tint="-4.9989318521683403E-2"/>
        <bgColor rgb="FFE7E6E6"/>
      </patternFill>
    </fill>
    <fill>
      <patternFill patternType="solid">
        <fgColor rgb="FFFFFFFF"/>
        <bgColor rgb="FFF2F2F2"/>
      </patternFill>
    </fill>
    <fill>
      <patternFill patternType="solid">
        <fgColor rgb="FFFFFF00"/>
        <bgColor rgb="FFFFC000"/>
      </patternFill>
    </fill>
    <fill>
      <patternFill patternType="solid">
        <fgColor theme="2" tint="-0.749992370372631"/>
        <bgColor rgb="FF404040"/>
      </patternFill>
    </fill>
    <fill>
      <patternFill patternType="solid">
        <fgColor theme="2" tint="-9.9978637043366805E-2"/>
        <bgColor rgb="FFD9D9D9"/>
      </patternFill>
    </fill>
    <fill>
      <patternFill patternType="solid">
        <fgColor rgb="FFFFFF99"/>
        <bgColor rgb="FFFFEB9C"/>
      </patternFill>
    </fill>
    <fill>
      <patternFill patternType="solid">
        <fgColor rgb="FF92D050"/>
        <bgColor rgb="FF70AD47"/>
      </patternFill>
    </fill>
    <fill>
      <patternFill patternType="solid">
        <fgColor rgb="FF1F3864"/>
        <bgColor rgb="FF3B3838"/>
      </patternFill>
    </fill>
    <fill>
      <patternFill patternType="solid">
        <fgColor rgb="FF4472C4"/>
        <bgColor rgb="FF5B9BD5"/>
      </patternFill>
    </fill>
    <fill>
      <patternFill patternType="solid">
        <fgColor rgb="FFDAE3F3"/>
        <bgColor rgb="FFE7E6E6"/>
      </patternFill>
    </fill>
    <fill>
      <patternFill patternType="solid">
        <fgColor rgb="FF00B0F0"/>
        <bgColor rgb="FF00B050"/>
      </patternFill>
    </fill>
    <fill>
      <patternFill patternType="solid">
        <fgColor rgb="FFC6EFCE"/>
        <bgColor rgb="FFDAE3F3"/>
      </patternFill>
    </fill>
    <fill>
      <patternFill patternType="solid">
        <fgColor theme="0" tint="-0.14999847407452621"/>
        <bgColor rgb="FFD0CECE"/>
      </patternFill>
    </fill>
    <fill>
      <patternFill patternType="solid">
        <fgColor rgb="FFFFC000"/>
        <bgColor rgb="FFFF9900"/>
      </patternFill>
    </fill>
    <fill>
      <patternFill patternType="solid">
        <fgColor rgb="FFFF0000"/>
        <bgColor rgb="FF9C0006"/>
      </patternFill>
    </fill>
    <fill>
      <patternFill patternType="solid">
        <fgColor rgb="FFFFC7CE"/>
        <bgColor rgb="FFD9D9D9"/>
      </patternFill>
    </fill>
    <fill>
      <patternFill patternType="solid">
        <fgColor rgb="FFFFEB9C"/>
        <bgColor rgb="FFFFFF99"/>
      </patternFill>
    </fill>
    <fill>
      <patternFill patternType="solid">
        <fgColor theme="1"/>
        <bgColor rgb="FF1F1F1F"/>
      </patternFill>
    </fill>
    <fill>
      <patternFill patternType="solid">
        <fgColor theme="4" tint="-0.499984740745262"/>
        <bgColor rgb="FFF2F2F2"/>
      </patternFill>
    </fill>
    <fill>
      <patternFill patternType="solid">
        <fgColor rgb="FFE2EFDA"/>
        <bgColor rgb="FFE7E6E6"/>
      </patternFill>
    </fill>
    <fill>
      <patternFill patternType="solid">
        <fgColor rgb="FFFFFF00"/>
        <bgColor rgb="FFF2F2F2"/>
      </patternFill>
    </fill>
    <fill>
      <patternFill patternType="solid">
        <fgColor rgb="FFFF0000"/>
        <bgColor rgb="FF5B9BD5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DAE3F3"/>
      </patternFill>
    </fill>
    <fill>
      <patternFill patternType="solid">
        <fgColor theme="4" tint="0.59999389629810485"/>
        <bgColor rgb="FFFFEB9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rgb="FFDAE3F3"/>
      </patternFill>
    </fill>
    <fill>
      <patternFill patternType="solid">
        <fgColor theme="4" tint="0.79998168889431442"/>
        <bgColor rgb="FFFFEB9C"/>
      </patternFill>
    </fill>
    <fill>
      <patternFill patternType="solid">
        <fgColor theme="4" tint="0.59999389629810485"/>
        <bgColor rgb="FFD0CECE"/>
      </patternFill>
    </fill>
    <fill>
      <patternFill patternType="solid">
        <fgColor rgb="FFFF0000"/>
        <bgColor rgb="FFFFC000"/>
      </patternFill>
    </fill>
    <fill>
      <patternFill patternType="solid">
        <fgColor theme="4" tint="0.79998168889431442"/>
        <bgColor rgb="FFD0CECE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404040"/>
      </patternFill>
    </fill>
    <fill>
      <patternFill patternType="solid">
        <fgColor rgb="FF9DC3E6"/>
        <bgColor rgb="FFB8CCE4"/>
      </patternFill>
    </fill>
    <fill>
      <patternFill patternType="solid">
        <fgColor theme="0"/>
        <bgColor rgb="FFF2F2F2"/>
      </patternFill>
    </fill>
  </fills>
  <borders count="35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 style="thin">
        <color rgb="FFB8CCE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theme="4" tint="0.39988402966399123"/>
      </right>
      <top style="thin">
        <color theme="4" tint="0.39988402966399123"/>
      </top>
      <bottom style="thin">
        <color theme="4" tint="0.39988402966399123"/>
      </bottom>
      <diagonal/>
    </border>
    <border>
      <left style="thin">
        <color rgb="FFB8CCE4"/>
      </left>
      <right style="thin">
        <color rgb="FFB8CCE4"/>
      </right>
      <top style="thin">
        <color rgb="FFB8CCE4"/>
      </top>
      <bottom/>
      <diagonal/>
    </border>
    <border>
      <left style="thin">
        <color rgb="FFB8CCE4"/>
      </left>
      <right style="thin">
        <color rgb="FFB8CCE4"/>
      </right>
      <top/>
      <bottom style="thin">
        <color rgb="FFB8CCE4"/>
      </bottom>
      <diagonal/>
    </border>
    <border>
      <left/>
      <right/>
      <top style="thin">
        <color rgb="FFB8CCE4"/>
      </top>
      <bottom style="thin">
        <color rgb="FFB8CCE4"/>
      </bottom>
      <diagonal/>
    </border>
    <border>
      <left/>
      <right style="thin">
        <color rgb="FFB8CCE4"/>
      </right>
      <top style="thin">
        <color rgb="FFB8CCE4"/>
      </top>
      <bottom style="thin">
        <color rgb="FFB8CCE4"/>
      </bottom>
      <diagonal/>
    </border>
    <border>
      <left/>
      <right style="thin">
        <color indexed="64"/>
      </right>
      <top style="thin">
        <color rgb="FFB8CCE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rgb="FFB8CCE4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rgb="FFB8CCE4"/>
      </left>
      <right style="thin">
        <color indexed="64"/>
      </right>
      <top style="thin">
        <color auto="1"/>
      </top>
      <bottom style="thin">
        <color rgb="FFB8CCE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rgb="FFB8CCE4"/>
      </bottom>
      <diagonal/>
    </border>
    <border>
      <left style="thin">
        <color rgb="FFB8CCE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theme="4" tint="0.39997558519241921"/>
      </bottom>
      <diagonal/>
    </border>
    <border>
      <left style="thin">
        <color rgb="FFB8CCE4"/>
      </left>
      <right/>
      <top style="thin">
        <color rgb="FFB8CCE4"/>
      </top>
      <bottom style="thin">
        <color rgb="FFB8CCE4"/>
      </bottom>
      <diagonal/>
    </border>
  </borders>
  <cellStyleXfs count="7">
    <xf numFmtId="0" fontId="0" fillId="0" borderId="0"/>
    <xf numFmtId="177" fontId="1" fillId="2" borderId="0">
      <alignment horizontal="left" wrapText="1" indent="1"/>
    </xf>
    <xf numFmtId="177" fontId="2" fillId="0" borderId="0">
      <alignment horizontal="left" indent="1"/>
    </xf>
    <xf numFmtId="0" fontId="3" fillId="0" borderId="1">
      <alignment horizontal="left" vertical="center" indent="1"/>
    </xf>
    <xf numFmtId="0" fontId="4" fillId="3" borderId="0">
      <alignment vertical="center"/>
    </xf>
    <xf numFmtId="44" fontId="38" fillId="0" borderId="0"/>
    <xf numFmtId="9" fontId="38" fillId="0" borderId="0"/>
  </cellStyleXfs>
  <cellXfs count="348">
    <xf numFmtId="0" fontId="0" fillId="0" borderId="0" xfId="0"/>
    <xf numFmtId="0" fontId="15" fillId="11" borderId="5" xfId="0" applyFont="1" applyFill="1" applyBorder="1" applyAlignment="1">
      <alignment horizontal="left" vertical="center"/>
    </xf>
    <xf numFmtId="0" fontId="14" fillId="10" borderId="5" xfId="0" applyFont="1" applyFill="1" applyBorder="1" applyAlignment="1">
      <alignment horizontal="center" vertical="center"/>
    </xf>
    <xf numFmtId="164" fontId="13" fillId="9" borderId="5" xfId="0" applyNumberFormat="1" applyFont="1" applyFill="1" applyBorder="1" applyAlignment="1">
      <alignment horizontal="center" vertical="center"/>
    </xf>
    <xf numFmtId="0" fontId="5" fillId="0" borderId="0" xfId="0" applyFont="1"/>
    <xf numFmtId="0" fontId="0" fillId="0" borderId="2" xfId="0" applyBorder="1"/>
    <xf numFmtId="0" fontId="0" fillId="5" borderId="2" xfId="0" applyFill="1" applyBorder="1"/>
    <xf numFmtId="0" fontId="10" fillId="6" borderId="2" xfId="0" applyFont="1" applyFill="1" applyBorder="1"/>
    <xf numFmtId="0" fontId="8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center"/>
    </xf>
    <xf numFmtId="165" fontId="17" fillId="0" borderId="0" xfId="0" applyNumberFormat="1" applyFont="1"/>
    <xf numFmtId="0" fontId="6" fillId="0" borderId="0" xfId="0" applyFont="1" applyAlignment="1">
      <alignment vertical="center"/>
    </xf>
    <xf numFmtId="0" fontId="19" fillId="0" borderId="0" xfId="0" applyFont="1"/>
    <xf numFmtId="166" fontId="19" fillId="0" borderId="0" xfId="0" applyNumberFormat="1" applyFont="1" applyAlignment="1">
      <alignment horizontal="left"/>
    </xf>
    <xf numFmtId="0" fontId="7" fillId="10" borderId="0" xfId="0" applyFont="1" applyFill="1" applyAlignment="1">
      <alignment horizontal="center" vertical="center" wrapText="1"/>
    </xf>
    <xf numFmtId="0" fontId="5" fillId="0" borderId="2" xfId="0" applyFont="1" applyBorder="1"/>
    <xf numFmtId="1" fontId="12" fillId="13" borderId="2" xfId="0" applyNumberFormat="1" applyFont="1" applyFill="1" applyBorder="1" applyAlignment="1">
      <alignment horizontal="right" vertical="center"/>
    </xf>
    <xf numFmtId="0" fontId="20" fillId="4" borderId="2" xfId="0" applyFont="1" applyFill="1" applyBorder="1"/>
    <xf numFmtId="1" fontId="5" fillId="4" borderId="2" xfId="0" applyNumberFormat="1" applyFont="1" applyFill="1" applyBorder="1" applyAlignment="1">
      <alignment horizontal="right" vertical="center"/>
    </xf>
    <xf numFmtId="0" fontId="5" fillId="0" borderId="2" xfId="0" applyFont="1" applyBorder="1" applyAlignment="1">
      <alignment horizontal="left" vertical="top"/>
    </xf>
    <xf numFmtId="0" fontId="5" fillId="14" borderId="2" xfId="0" applyFont="1" applyFill="1" applyBorder="1"/>
    <xf numFmtId="165" fontId="17" fillId="0" borderId="0" xfId="0" applyNumberFormat="1" applyFont="1" applyAlignment="1">
      <alignment horizontal="right" vertical="center" wrapText="1"/>
    </xf>
    <xf numFmtId="165" fontId="21" fillId="0" borderId="0" xfId="0" applyNumberFormat="1" applyFont="1"/>
    <xf numFmtId="4" fontId="17" fillId="0" borderId="0" xfId="0" applyNumberFormat="1" applyFont="1"/>
    <xf numFmtId="0" fontId="22" fillId="0" borderId="8" xfId="0" applyFont="1" applyBorder="1" applyAlignment="1">
      <alignment horizontal="left" vertical="center" wrapText="1" indent="1" readingOrder="1"/>
    </xf>
    <xf numFmtId="0" fontId="23" fillId="0" borderId="8" xfId="0" applyFont="1" applyBorder="1" applyAlignment="1">
      <alignment horizontal="left" vertical="center" wrapText="1" indent="1" readingOrder="1"/>
    </xf>
    <xf numFmtId="0" fontId="24" fillId="0" borderId="8" xfId="0" applyFont="1" applyBorder="1" applyAlignment="1">
      <alignment horizontal="left" vertical="center" wrapText="1" indent="1" readingOrder="1"/>
    </xf>
    <xf numFmtId="1" fontId="9" fillId="0" borderId="2" xfId="0" applyNumberFormat="1" applyFont="1" applyBorder="1" applyAlignment="1">
      <alignment horizontal="center" vertical="center" wrapText="1"/>
    </xf>
    <xf numFmtId="1" fontId="9" fillId="14" borderId="2" xfId="0" applyNumberFormat="1" applyFont="1" applyFill="1" applyBorder="1" applyAlignment="1">
      <alignment horizontal="center" vertical="center" wrapText="1"/>
    </xf>
    <xf numFmtId="1" fontId="9" fillId="0" borderId="2" xfId="0" applyNumberFormat="1" applyFont="1" applyBorder="1" applyAlignment="1">
      <alignment horizontal="center" vertical="center"/>
    </xf>
    <xf numFmtId="0" fontId="20" fillId="8" borderId="2" xfId="0" applyFont="1" applyFill="1" applyBorder="1" applyAlignment="1">
      <alignment horizontal="right"/>
    </xf>
    <xf numFmtId="167" fontId="5" fillId="4" borderId="0" xfId="0" applyNumberFormat="1" applyFont="1" applyFill="1"/>
    <xf numFmtId="0" fontId="7" fillId="10" borderId="0" xfId="0" applyFont="1" applyFill="1" applyAlignment="1">
      <alignment horizontal="center" vertical="center"/>
    </xf>
    <xf numFmtId="167" fontId="9" fillId="0" borderId="2" xfId="0" applyNumberFormat="1" applyFont="1" applyBorder="1" applyAlignment="1">
      <alignment horizontal="center" vertical="center"/>
    </xf>
    <xf numFmtId="167" fontId="9" fillId="11" borderId="2" xfId="0" applyNumberFormat="1" applyFont="1" applyFill="1" applyBorder="1" applyAlignment="1">
      <alignment horizontal="center" vertical="center"/>
    </xf>
    <xf numFmtId="9" fontId="9" fillId="11" borderId="2" xfId="0" applyNumberFormat="1" applyFont="1" applyFill="1" applyBorder="1" applyAlignment="1">
      <alignment horizontal="center" vertical="center"/>
    </xf>
    <xf numFmtId="1" fontId="9" fillId="11" borderId="2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 wrapText="1"/>
    </xf>
    <xf numFmtId="168" fontId="5" fillId="0" borderId="2" xfId="0" applyNumberFormat="1" applyFont="1" applyBorder="1" applyAlignment="1">
      <alignment horizontal="right"/>
    </xf>
    <xf numFmtId="9" fontId="5" fillId="4" borderId="2" xfId="0" applyNumberFormat="1" applyFont="1" applyFill="1" applyBorder="1" applyAlignment="1">
      <alignment horizontal="right"/>
    </xf>
    <xf numFmtId="10" fontId="5" fillId="4" borderId="2" xfId="0" applyNumberFormat="1" applyFont="1" applyFill="1" applyBorder="1" applyAlignment="1">
      <alignment horizontal="right"/>
    </xf>
    <xf numFmtId="167" fontId="9" fillId="4" borderId="2" xfId="0" applyNumberFormat="1" applyFont="1" applyFill="1" applyBorder="1" applyAlignment="1">
      <alignment horizontal="center" vertical="center"/>
    </xf>
    <xf numFmtId="9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11" fillId="3" borderId="0" xfId="0" applyFont="1" applyFill="1"/>
    <xf numFmtId="0" fontId="8" fillId="3" borderId="0" xfId="0" applyFont="1" applyFill="1"/>
    <xf numFmtId="10" fontId="11" fillId="3" borderId="0" xfId="0" applyNumberFormat="1" applyFont="1" applyFill="1" applyAlignment="1">
      <alignment horizontal="right" vertical="center"/>
    </xf>
    <xf numFmtId="0" fontId="8" fillId="3" borderId="0" xfId="0" applyFont="1" applyFill="1" applyAlignment="1">
      <alignment horizontal="center" vertical="center" wrapText="1"/>
    </xf>
    <xf numFmtId="168" fontId="8" fillId="3" borderId="0" xfId="0" applyNumberFormat="1" applyFont="1" applyFill="1" applyAlignment="1">
      <alignment horizontal="center" vertical="center" wrapText="1"/>
    </xf>
    <xf numFmtId="10" fontId="8" fillId="3" borderId="0" xfId="0" applyNumberFormat="1" applyFont="1" applyFill="1" applyAlignment="1">
      <alignment horizontal="right" vertical="center"/>
    </xf>
    <xf numFmtId="0" fontId="11" fillId="3" borderId="0" xfId="0" applyFont="1" applyFill="1" applyAlignment="1">
      <alignment vertical="center" wrapText="1"/>
    </xf>
    <xf numFmtId="9" fontId="11" fillId="3" borderId="0" xfId="0" applyNumberFormat="1" applyFont="1" applyFill="1" applyAlignment="1">
      <alignment vertical="center" wrapText="1"/>
    </xf>
    <xf numFmtId="10" fontId="11" fillId="3" borderId="0" xfId="0" applyNumberFormat="1" applyFont="1" applyFill="1"/>
    <xf numFmtId="0" fontId="25" fillId="0" borderId="0" xfId="0" applyFont="1"/>
    <xf numFmtId="0" fontId="5" fillId="4" borderId="0" xfId="0" applyFont="1" applyFill="1"/>
    <xf numFmtId="169" fontId="5" fillId="4" borderId="0" xfId="0" applyNumberFormat="1" applyFont="1" applyFill="1"/>
    <xf numFmtId="0" fontId="5" fillId="0" borderId="0" xfId="0" applyFont="1" applyAlignment="1">
      <alignment horizontal="center"/>
    </xf>
    <xf numFmtId="170" fontId="11" fillId="16" borderId="2" xfId="0" applyNumberFormat="1" applyFont="1" applyFill="1" applyBorder="1" applyAlignment="1">
      <alignment horizontal="center" vertical="center"/>
    </xf>
    <xf numFmtId="0" fontId="11" fillId="12" borderId="0" xfId="0" applyFont="1" applyFill="1" applyAlignment="1">
      <alignment horizontal="center" vertical="center"/>
    </xf>
    <xf numFmtId="0" fontId="20" fillId="14" borderId="2" xfId="0" applyFont="1" applyFill="1" applyBorder="1"/>
    <xf numFmtId="0" fontId="27" fillId="0" borderId="0" xfId="0" applyFont="1"/>
    <xf numFmtId="0" fontId="5" fillId="0" borderId="0" xfId="0" applyFont="1" applyAlignment="1">
      <alignment horizontal="left" vertical="top"/>
    </xf>
    <xf numFmtId="0" fontId="5" fillId="14" borderId="4" xfId="0" applyFont="1" applyFill="1" applyBorder="1" applyAlignment="1">
      <alignment horizontal="right" vertical="center"/>
    </xf>
    <xf numFmtId="168" fontId="5" fillId="14" borderId="7" xfId="0" applyNumberFormat="1" applyFont="1" applyFill="1" applyBorder="1" applyAlignment="1">
      <alignment horizontal="right"/>
    </xf>
    <xf numFmtId="10" fontId="5" fillId="14" borderId="7" xfId="0" applyNumberFormat="1" applyFont="1" applyFill="1" applyBorder="1" applyAlignment="1">
      <alignment horizontal="center" vertical="center"/>
    </xf>
    <xf numFmtId="10" fontId="5" fillId="14" borderId="6" xfId="0" applyNumberFormat="1" applyFont="1" applyFill="1" applyBorder="1" applyAlignment="1">
      <alignment horizontal="center" vertical="center"/>
    </xf>
    <xf numFmtId="0" fontId="14" fillId="10" borderId="5" xfId="0" applyFont="1" applyFill="1" applyBorder="1" applyAlignment="1">
      <alignment horizontal="left" vertical="center"/>
    </xf>
    <xf numFmtId="0" fontId="15" fillId="11" borderId="5" xfId="0" applyFont="1" applyFill="1" applyBorder="1"/>
    <xf numFmtId="0" fontId="30" fillId="4" borderId="5" xfId="0" applyFont="1" applyFill="1" applyBorder="1"/>
    <xf numFmtId="171" fontId="30" fillId="4" borderId="5" xfId="0" applyNumberFormat="1" applyFont="1" applyFill="1" applyBorder="1"/>
    <xf numFmtId="172" fontId="30" fillId="4" borderId="5" xfId="0" applyNumberFormat="1" applyFont="1" applyFill="1" applyBorder="1"/>
    <xf numFmtId="0" fontId="8" fillId="20" borderId="3" xfId="0" applyFont="1" applyFill="1" applyBorder="1" applyAlignment="1">
      <alignment horizontal="center" vertical="center" wrapText="1"/>
    </xf>
    <xf numFmtId="10" fontId="16" fillId="0" borderId="5" xfId="0" applyNumberFormat="1" applyFont="1" applyBorder="1" applyAlignment="1">
      <alignment vertical="center" wrapText="1"/>
    </xf>
    <xf numFmtId="0" fontId="26" fillId="4" borderId="5" xfId="0" applyFont="1" applyFill="1" applyBorder="1" applyAlignment="1">
      <alignment horizontal="center" vertical="center"/>
    </xf>
    <xf numFmtId="0" fontId="33" fillId="2" borderId="5" xfId="0" applyFont="1" applyFill="1" applyBorder="1" applyAlignment="1">
      <alignment horizontal="left" vertical="center" wrapText="1"/>
    </xf>
    <xf numFmtId="0" fontId="34" fillId="10" borderId="5" xfId="0" applyFont="1" applyFill="1" applyBorder="1" applyAlignment="1">
      <alignment horizontal="center" vertical="center"/>
    </xf>
    <xf numFmtId="0" fontId="35" fillId="11" borderId="5" xfId="0" applyFont="1" applyFill="1" applyBorder="1" applyAlignment="1">
      <alignment horizontal="left" vertical="center"/>
    </xf>
    <xf numFmtId="0" fontId="34" fillId="10" borderId="5" xfId="0" applyFont="1" applyFill="1" applyBorder="1" applyAlignment="1">
      <alignment horizontal="left" vertical="center"/>
    </xf>
    <xf numFmtId="0" fontId="34" fillId="10" borderId="5" xfId="0" applyFont="1" applyFill="1" applyBorder="1" applyAlignment="1">
      <alignment horizontal="right" vertical="center"/>
    </xf>
    <xf numFmtId="10" fontId="31" fillId="2" borderId="10" xfId="0" applyNumberFormat="1" applyFont="1" applyFill="1" applyBorder="1" applyAlignment="1">
      <alignment horizontal="right" vertical="center" wrapText="1"/>
    </xf>
    <xf numFmtId="0" fontId="34" fillId="10" borderId="5" xfId="0" applyFont="1" applyFill="1" applyBorder="1" applyAlignment="1">
      <alignment horizontal="center" vertical="center" wrapText="1"/>
    </xf>
    <xf numFmtId="171" fontId="30" fillId="0" borderId="5" xfId="0" applyNumberFormat="1" applyFont="1" applyBorder="1"/>
    <xf numFmtId="0" fontId="26" fillId="3" borderId="5" xfId="0" applyFont="1" applyFill="1" applyBorder="1" applyAlignment="1">
      <alignment horizontal="left" vertical="center"/>
    </xf>
    <xf numFmtId="0" fontId="40" fillId="0" borderId="5" xfId="0" applyFont="1" applyBorder="1" applyAlignment="1">
      <alignment horizontal="left" vertical="center"/>
    </xf>
    <xf numFmtId="0" fontId="40" fillId="0" borderId="5" xfId="0" applyFont="1" applyBorder="1" applyAlignment="1">
      <alignment horizontal="right" vertical="center"/>
    </xf>
    <xf numFmtId="171" fontId="40" fillId="0" borderId="5" xfId="0" applyNumberFormat="1" applyFont="1" applyBorder="1" applyAlignment="1">
      <alignment horizontal="right" vertical="center"/>
    </xf>
    <xf numFmtId="49" fontId="39" fillId="0" borderId="0" xfId="0" applyNumberFormat="1" applyFont="1" applyAlignment="1">
      <alignment horizontal="left" vertical="top"/>
    </xf>
    <xf numFmtId="44" fontId="34" fillId="10" borderId="5" xfId="5" applyFont="1" applyFill="1" applyBorder="1" applyAlignment="1">
      <alignment horizontal="right" vertical="center"/>
    </xf>
    <xf numFmtId="14" fontId="26" fillId="3" borderId="5" xfId="0" applyNumberFormat="1" applyFont="1" applyFill="1" applyBorder="1" applyAlignment="1">
      <alignment horizontal="left" vertical="center"/>
    </xf>
    <xf numFmtId="44" fontId="26" fillId="3" borderId="5" xfId="5" applyFont="1" applyFill="1" applyBorder="1" applyAlignment="1">
      <alignment horizontal="left" vertical="center"/>
    </xf>
    <xf numFmtId="44" fontId="26" fillId="3" borderId="5" xfId="5" applyFont="1" applyFill="1" applyBorder="1" applyAlignment="1">
      <alignment horizontal="right" vertical="center"/>
    </xf>
    <xf numFmtId="173" fontId="26" fillId="0" borderId="5" xfId="0" applyNumberFormat="1" applyFont="1" applyBorder="1" applyAlignment="1">
      <alignment horizontal="right" vertical="center"/>
    </xf>
    <xf numFmtId="3" fontId="26" fillId="3" borderId="5" xfId="0" applyNumberFormat="1" applyFont="1" applyFill="1" applyBorder="1" applyAlignment="1">
      <alignment horizontal="right" vertical="center"/>
    </xf>
    <xf numFmtId="0" fontId="26" fillId="18" borderId="5" xfId="0" applyFont="1" applyFill="1" applyBorder="1" applyAlignment="1">
      <alignment horizontal="center" vertical="center"/>
    </xf>
    <xf numFmtId="44" fontId="41" fillId="23" borderId="5" xfId="0" applyNumberFormat="1" applyFont="1" applyFill="1" applyBorder="1" applyAlignment="1">
      <alignment horizontal="right" vertical="center"/>
    </xf>
    <xf numFmtId="44" fontId="36" fillId="0" borderId="5" xfId="5" applyFont="1" applyBorder="1" applyAlignment="1">
      <alignment horizontal="right" vertical="center"/>
    </xf>
    <xf numFmtId="172" fontId="26" fillId="4" borderId="5" xfId="0" applyNumberFormat="1" applyFont="1" applyFill="1" applyBorder="1" applyAlignment="1">
      <alignment horizontal="center" vertical="center"/>
    </xf>
    <xf numFmtId="167" fontId="42" fillId="0" borderId="0" xfId="0" applyNumberFormat="1" applyFont="1"/>
    <xf numFmtId="172" fontId="26" fillId="0" borderId="5" xfId="0" applyNumberFormat="1" applyFont="1" applyBorder="1" applyAlignment="1">
      <alignment horizontal="center" vertical="center"/>
    </xf>
    <xf numFmtId="0" fontId="7" fillId="10" borderId="14" xfId="0" applyFont="1" applyFill="1" applyBorder="1" applyAlignment="1">
      <alignment horizontal="center" vertical="center" wrapText="1"/>
    </xf>
    <xf numFmtId="0" fontId="7" fillId="10" borderId="15" xfId="0" applyFont="1" applyFill="1" applyBorder="1" applyAlignment="1">
      <alignment horizontal="center" vertical="center" wrapText="1"/>
    </xf>
    <xf numFmtId="0" fontId="7" fillId="10" borderId="16" xfId="0" applyFont="1" applyFill="1" applyBorder="1" applyAlignment="1">
      <alignment horizontal="center" vertical="center" wrapText="1"/>
    </xf>
    <xf numFmtId="0" fontId="7" fillId="10" borderId="3" xfId="0" applyFont="1" applyFill="1" applyBorder="1" applyAlignment="1">
      <alignment horizontal="center" vertical="center" wrapText="1"/>
    </xf>
    <xf numFmtId="167" fontId="43" fillId="0" borderId="2" xfId="0" applyNumberFormat="1" applyFont="1" applyBorder="1"/>
    <xf numFmtId="0" fontId="44" fillId="28" borderId="2" xfId="0" applyFont="1" applyFill="1" applyBorder="1"/>
    <xf numFmtId="170" fontId="18" fillId="28" borderId="2" xfId="0" applyNumberFormat="1" applyFont="1" applyFill="1" applyBorder="1" applyAlignment="1">
      <alignment horizontal="right"/>
    </xf>
    <xf numFmtId="0" fontId="18" fillId="29" borderId="2" xfId="0" applyFont="1" applyFill="1" applyBorder="1" applyAlignment="1">
      <alignment horizontal="right" vertical="center" wrapText="1"/>
    </xf>
    <xf numFmtId="1" fontId="18" fillId="30" borderId="2" xfId="0" applyNumberFormat="1" applyFont="1" applyFill="1" applyBorder="1" applyAlignment="1">
      <alignment horizontal="right" vertical="center"/>
    </xf>
    <xf numFmtId="1" fontId="45" fillId="29" borderId="2" xfId="0" applyNumberFormat="1" applyFont="1" applyFill="1" applyBorder="1" applyAlignment="1">
      <alignment horizontal="right" vertical="center"/>
    </xf>
    <xf numFmtId="1" fontId="46" fillId="28" borderId="2" xfId="0" applyNumberFormat="1" applyFont="1" applyFill="1" applyBorder="1" applyAlignment="1">
      <alignment horizontal="center" vertical="top" wrapText="1"/>
    </xf>
    <xf numFmtId="167" fontId="18" fillId="28" borderId="2" xfId="0" applyNumberFormat="1" applyFont="1" applyFill="1" applyBorder="1"/>
    <xf numFmtId="0" fontId="44" fillId="25" borderId="2" xfId="0" applyFont="1" applyFill="1" applyBorder="1"/>
    <xf numFmtId="170" fontId="18" fillId="31" borderId="2" xfId="0" applyNumberFormat="1" applyFont="1" applyFill="1" applyBorder="1" applyAlignment="1">
      <alignment horizontal="right"/>
    </xf>
    <xf numFmtId="0" fontId="18" fillId="26" borderId="2" xfId="0" applyFont="1" applyFill="1" applyBorder="1" applyAlignment="1">
      <alignment horizontal="right" vertical="center" wrapText="1"/>
    </xf>
    <xf numFmtId="1" fontId="18" fillId="27" borderId="2" xfId="0" applyNumberFormat="1" applyFont="1" applyFill="1" applyBorder="1" applyAlignment="1">
      <alignment horizontal="right" vertical="center"/>
    </xf>
    <xf numFmtId="1" fontId="45" fillId="26" borderId="2" xfId="0" applyNumberFormat="1" applyFont="1" applyFill="1" applyBorder="1" applyAlignment="1">
      <alignment horizontal="right" vertical="center"/>
    </xf>
    <xf numFmtId="1" fontId="46" fillId="31" borderId="2" xfId="0" applyNumberFormat="1" applyFont="1" applyFill="1" applyBorder="1" applyAlignment="1">
      <alignment horizontal="center" vertical="top" wrapText="1"/>
    </xf>
    <xf numFmtId="167" fontId="18" fillId="31" borderId="2" xfId="0" applyNumberFormat="1" applyFont="1" applyFill="1" applyBorder="1" applyAlignment="1">
      <alignment horizontal="right"/>
    </xf>
    <xf numFmtId="1" fontId="46" fillId="28" borderId="2" xfId="0" applyNumberFormat="1" applyFont="1" applyFill="1" applyBorder="1" applyAlignment="1">
      <alignment horizontal="center" vertical="top"/>
    </xf>
    <xf numFmtId="0" fontId="44" fillId="28" borderId="2" xfId="0" applyFont="1" applyFill="1" applyBorder="1" applyAlignment="1">
      <alignment horizontal="left" vertical="top"/>
    </xf>
    <xf numFmtId="44" fontId="18" fillId="28" borderId="2" xfId="5" applyFont="1" applyFill="1" applyBorder="1" applyAlignment="1">
      <alignment horizontal="right"/>
    </xf>
    <xf numFmtId="44" fontId="18" fillId="28" borderId="2" xfId="5" applyFont="1" applyFill="1" applyBorder="1" applyAlignment="1">
      <alignment horizontal="right" wrapText="1"/>
    </xf>
    <xf numFmtId="168" fontId="18" fillId="28" borderId="2" xfId="0" applyNumberFormat="1" applyFont="1" applyFill="1" applyBorder="1" applyAlignment="1">
      <alignment horizontal="right"/>
    </xf>
    <xf numFmtId="10" fontId="18" fillId="28" borderId="2" xfId="0" applyNumberFormat="1" applyFont="1" applyFill="1" applyBorder="1" applyAlignment="1">
      <alignment horizontal="right" vertical="center"/>
    </xf>
    <xf numFmtId="10" fontId="18" fillId="28" borderId="4" xfId="0" applyNumberFormat="1" applyFont="1" applyFill="1" applyBorder="1" applyAlignment="1">
      <alignment horizontal="right" vertical="center"/>
    </xf>
    <xf numFmtId="0" fontId="44" fillId="25" borderId="2" xfId="0" applyFont="1" applyFill="1" applyBorder="1" applyAlignment="1">
      <alignment horizontal="left" vertical="top"/>
    </xf>
    <xf numFmtId="44" fontId="18" fillId="31" borderId="2" xfId="5" applyFont="1" applyFill="1" applyBorder="1" applyAlignment="1">
      <alignment horizontal="right"/>
    </xf>
    <xf numFmtId="44" fontId="18" fillId="31" borderId="2" xfId="5" applyFont="1" applyFill="1" applyBorder="1" applyAlignment="1">
      <alignment horizontal="right" wrapText="1"/>
    </xf>
    <xf numFmtId="168" fontId="18" fillId="25" borderId="2" xfId="0" applyNumberFormat="1" applyFont="1" applyFill="1" applyBorder="1" applyAlignment="1">
      <alignment horizontal="right"/>
    </xf>
    <xf numFmtId="10" fontId="18" fillId="25" borderId="2" xfId="0" applyNumberFormat="1" applyFont="1" applyFill="1" applyBorder="1" applyAlignment="1">
      <alignment horizontal="right" vertical="center"/>
    </xf>
    <xf numFmtId="10" fontId="18" fillId="25" borderId="4" xfId="0" applyNumberFormat="1" applyFont="1" applyFill="1" applyBorder="1" applyAlignment="1">
      <alignment horizontal="right" vertical="center"/>
    </xf>
    <xf numFmtId="0" fontId="37" fillId="0" borderId="5" xfId="0" applyFont="1" applyBorder="1" applyAlignment="1">
      <alignment horizontal="left" vertical="center"/>
    </xf>
    <xf numFmtId="44" fontId="14" fillId="10" borderId="5" xfId="5" applyFont="1" applyFill="1" applyBorder="1" applyAlignment="1">
      <alignment horizontal="center" vertical="center"/>
    </xf>
    <xf numFmtId="0" fontId="30" fillId="0" borderId="5" xfId="0" applyFont="1" applyBorder="1"/>
    <xf numFmtId="172" fontId="30" fillId="0" borderId="5" xfId="0" applyNumberFormat="1" applyFont="1" applyBorder="1"/>
    <xf numFmtId="44" fontId="34" fillId="10" borderId="18" xfId="0" applyNumberFormat="1" applyFont="1" applyFill="1" applyBorder="1" applyAlignment="1">
      <alignment horizontal="right" vertical="center"/>
    </xf>
    <xf numFmtId="9" fontId="34" fillId="10" borderId="18" xfId="6" applyFont="1" applyFill="1" applyBorder="1" applyAlignment="1">
      <alignment horizontal="right" vertical="center"/>
    </xf>
    <xf numFmtId="1" fontId="34" fillId="10" borderId="18" xfId="0" applyNumberFormat="1" applyFont="1" applyFill="1" applyBorder="1" applyAlignment="1">
      <alignment horizontal="right" vertical="center"/>
    </xf>
    <xf numFmtId="49" fontId="34" fillId="10" borderId="18" xfId="0" applyNumberFormat="1" applyFont="1" applyFill="1" applyBorder="1" applyAlignment="1">
      <alignment horizontal="right" vertical="center"/>
    </xf>
    <xf numFmtId="49" fontId="14" fillId="10" borderId="17" xfId="0" applyNumberFormat="1" applyFont="1" applyFill="1" applyBorder="1" applyAlignment="1">
      <alignment horizontal="left" vertical="center"/>
    </xf>
    <xf numFmtId="166" fontId="47" fillId="32" borderId="6" xfId="0" applyNumberFormat="1" applyFont="1" applyFill="1" applyBorder="1" applyAlignment="1">
      <alignment horizontal="left"/>
    </xf>
    <xf numFmtId="0" fontId="19" fillId="0" borderId="4" xfId="0" applyFont="1" applyBorder="1"/>
    <xf numFmtId="49" fontId="7" fillId="10" borderId="0" xfId="0" applyNumberFormat="1" applyFont="1" applyFill="1" applyAlignment="1">
      <alignment horizontal="center" vertical="center" wrapText="1"/>
    </xf>
    <xf numFmtId="9" fontId="18" fillId="33" borderId="2" xfId="0" applyNumberFormat="1" applyFont="1" applyFill="1" applyBorder="1" applyAlignment="1">
      <alignment horizontal="right"/>
    </xf>
    <xf numFmtId="9" fontId="18" fillId="31" borderId="2" xfId="0" applyNumberFormat="1" applyFont="1" applyFill="1" applyBorder="1" applyAlignment="1">
      <alignment horizontal="right"/>
    </xf>
    <xf numFmtId="0" fontId="44" fillId="31" borderId="2" xfId="0" applyFont="1" applyFill="1" applyBorder="1"/>
    <xf numFmtId="170" fontId="18" fillId="25" borderId="2" xfId="0" applyNumberFormat="1" applyFont="1" applyFill="1" applyBorder="1" applyAlignment="1">
      <alignment horizontal="right"/>
    </xf>
    <xf numFmtId="49" fontId="48" fillId="10" borderId="0" xfId="0" applyNumberFormat="1" applyFont="1" applyFill="1" applyAlignment="1">
      <alignment horizontal="left" vertical="center" wrapText="1"/>
    </xf>
    <xf numFmtId="0" fontId="48" fillId="10" borderId="7" xfId="0" applyFont="1" applyFill="1" applyBorder="1" applyAlignment="1">
      <alignment horizontal="center" vertical="center" wrapText="1"/>
    </xf>
    <xf numFmtId="1" fontId="48" fillId="10" borderId="2" xfId="0" applyNumberFormat="1" applyFont="1" applyFill="1" applyBorder="1" applyAlignment="1">
      <alignment horizontal="right" vertical="center" wrapText="1"/>
    </xf>
    <xf numFmtId="0" fontId="48" fillId="10" borderId="7" xfId="0" applyFont="1" applyFill="1" applyBorder="1" applyAlignment="1">
      <alignment horizontal="center" vertical="center"/>
    </xf>
    <xf numFmtId="49" fontId="48" fillId="10" borderId="6" xfId="0" applyNumberFormat="1" applyFont="1" applyFill="1" applyBorder="1" applyAlignment="1">
      <alignment horizontal="left" vertical="center"/>
    </xf>
    <xf numFmtId="44" fontId="48" fillId="10" borderId="0" xfId="5" applyFont="1" applyFill="1" applyAlignment="1">
      <alignment horizontal="left" vertical="center" wrapText="1"/>
    </xf>
    <xf numFmtId="9" fontId="48" fillId="10" borderId="0" xfId="6" applyFont="1" applyFill="1" applyAlignment="1">
      <alignment horizontal="right" vertical="center" wrapText="1"/>
    </xf>
    <xf numFmtId="0" fontId="44" fillId="0" borderId="0" xfId="0" applyFont="1"/>
    <xf numFmtId="169" fontId="49" fillId="32" borderId="0" xfId="0" applyNumberFormat="1" applyFont="1" applyFill="1" applyAlignment="1">
      <alignment horizontal="left"/>
    </xf>
    <xf numFmtId="1" fontId="18" fillId="25" borderId="2" xfId="0" applyNumberFormat="1" applyFont="1" applyFill="1" applyBorder="1" applyAlignment="1">
      <alignment horizontal="right"/>
    </xf>
    <xf numFmtId="0" fontId="8" fillId="32" borderId="0" xfId="0" applyFont="1" applyFill="1" applyAlignment="1">
      <alignment horizontal="center"/>
    </xf>
    <xf numFmtId="10" fontId="31" fillId="2" borderId="10" xfId="0" applyNumberFormat="1" applyFont="1" applyFill="1" applyBorder="1" applyAlignment="1">
      <alignment vertical="center" wrapText="1"/>
    </xf>
    <xf numFmtId="10" fontId="31" fillId="0" borderId="11" xfId="0" applyNumberFormat="1" applyFont="1" applyBorder="1" applyAlignment="1">
      <alignment vertical="center" wrapText="1"/>
    </xf>
    <xf numFmtId="44" fontId="34" fillId="10" borderId="5" xfId="5" applyFont="1" applyFill="1" applyBorder="1" applyAlignment="1">
      <alignment horizontal="left" vertical="center"/>
    </xf>
    <xf numFmtId="173" fontId="26" fillId="24" borderId="5" xfId="0" applyNumberFormat="1" applyFont="1" applyFill="1" applyBorder="1" applyAlignment="1">
      <alignment horizontal="right" vertical="center"/>
    </xf>
    <xf numFmtId="44" fontId="26" fillId="4" borderId="5" xfId="5" applyFont="1" applyFill="1" applyBorder="1" applyAlignment="1">
      <alignment horizontal="right" vertical="center"/>
    </xf>
    <xf numFmtId="0" fontId="26" fillId="0" borderId="5" xfId="0" applyFont="1" applyBorder="1" applyAlignment="1">
      <alignment horizontal="right" vertical="center"/>
    </xf>
    <xf numFmtId="0" fontId="26" fillId="0" borderId="5" xfId="0" applyFont="1" applyBorder="1" applyAlignment="1">
      <alignment horizontal="center" vertical="center"/>
    </xf>
    <xf numFmtId="44" fontId="26" fillId="0" borderId="5" xfId="5" applyFont="1" applyBorder="1" applyAlignment="1">
      <alignment horizontal="right" vertical="center"/>
    </xf>
    <xf numFmtId="44" fontId="50" fillId="3" borderId="5" xfId="5" applyFont="1" applyFill="1" applyBorder="1" applyAlignment="1">
      <alignment horizontal="right" vertical="center"/>
    </xf>
    <xf numFmtId="44" fontId="51" fillId="3" borderId="5" xfId="5" applyFont="1" applyFill="1" applyBorder="1" applyAlignment="1">
      <alignment horizontal="right" vertical="center"/>
    </xf>
    <xf numFmtId="44" fontId="51" fillId="0" borderId="5" xfId="5" applyFont="1" applyBorder="1" applyAlignment="1">
      <alignment horizontal="right" vertical="center"/>
    </xf>
    <xf numFmtId="0" fontId="8" fillId="20" borderId="20" xfId="0" applyFont="1" applyFill="1" applyBorder="1" applyAlignment="1">
      <alignment horizontal="left" vertical="center" wrapText="1"/>
    </xf>
    <xf numFmtId="22" fontId="0" fillId="0" borderId="0" xfId="0" applyNumberFormat="1"/>
    <xf numFmtId="0" fontId="0" fillId="0" borderId="6" xfId="0" applyBorder="1"/>
    <xf numFmtId="0" fontId="0" fillId="5" borderId="6" xfId="0" applyFill="1" applyBorder="1"/>
    <xf numFmtId="0" fontId="10" fillId="6" borderId="6" xfId="0" applyFont="1" applyFill="1" applyBorder="1"/>
    <xf numFmtId="0" fontId="32" fillId="9" borderId="5" xfId="0" applyFont="1" applyFill="1" applyBorder="1" applyAlignment="1">
      <alignment horizontal="center" vertical="center"/>
    </xf>
    <xf numFmtId="0" fontId="46" fillId="0" borderId="0" xfId="0" applyFont="1"/>
    <xf numFmtId="0" fontId="38" fillId="0" borderId="0" xfId="0" applyFont="1"/>
    <xf numFmtId="0" fontId="38" fillId="0" borderId="0" xfId="0" applyFont="1" applyAlignment="1">
      <alignment horizontal="left"/>
    </xf>
    <xf numFmtId="0" fontId="8" fillId="20" borderId="2" xfId="0" applyFont="1" applyFill="1" applyBorder="1" applyAlignment="1">
      <alignment horizontal="center" vertical="center" wrapText="1"/>
    </xf>
    <xf numFmtId="0" fontId="43" fillId="0" borderId="2" xfId="0" applyFont="1" applyBorder="1"/>
    <xf numFmtId="174" fontId="43" fillId="0" borderId="2" xfId="0" applyNumberFormat="1" applyFont="1" applyBorder="1"/>
    <xf numFmtId="14" fontId="43" fillId="0" borderId="2" xfId="0" applyNumberFormat="1" applyFont="1" applyBorder="1"/>
    <xf numFmtId="1" fontId="43" fillId="0" borderId="2" xfId="0" applyNumberFormat="1" applyFont="1" applyBorder="1"/>
    <xf numFmtId="10" fontId="43" fillId="0" borderId="2" xfId="0" applyNumberFormat="1" applyFont="1" applyBorder="1"/>
    <xf numFmtId="167" fontId="43" fillId="0" borderId="3" xfId="0" applyNumberFormat="1" applyFont="1" applyBorder="1"/>
    <xf numFmtId="0" fontId="43" fillId="34" borderId="2" xfId="0" applyFont="1" applyFill="1" applyBorder="1"/>
    <xf numFmtId="174" fontId="43" fillId="34" borderId="2" xfId="0" applyNumberFormat="1" applyFont="1" applyFill="1" applyBorder="1"/>
    <xf numFmtId="14" fontId="43" fillId="34" borderId="2" xfId="0" applyNumberFormat="1" applyFont="1" applyFill="1" applyBorder="1"/>
    <xf numFmtId="1" fontId="43" fillId="34" borderId="2" xfId="0" applyNumberFormat="1" applyFont="1" applyFill="1" applyBorder="1"/>
    <xf numFmtId="167" fontId="43" fillId="6" borderId="2" xfId="0" applyNumberFormat="1" applyFont="1" applyFill="1" applyBorder="1"/>
    <xf numFmtId="167" fontId="43" fillId="34" borderId="2" xfId="0" applyNumberFormat="1" applyFont="1" applyFill="1" applyBorder="1"/>
    <xf numFmtId="10" fontId="43" fillId="34" borderId="2" xfId="0" applyNumberFormat="1" applyFont="1" applyFill="1" applyBorder="1"/>
    <xf numFmtId="167" fontId="43" fillId="34" borderId="3" xfId="0" applyNumberFormat="1" applyFont="1" applyFill="1" applyBorder="1"/>
    <xf numFmtId="0" fontId="43" fillId="34" borderId="29" xfId="0" applyFont="1" applyFill="1" applyBorder="1"/>
    <xf numFmtId="174" fontId="43" fillId="34" borderId="29" xfId="0" applyNumberFormat="1" applyFont="1" applyFill="1" applyBorder="1"/>
    <xf numFmtId="14" fontId="43" fillId="34" borderId="29" xfId="0" applyNumberFormat="1" applyFont="1" applyFill="1" applyBorder="1"/>
    <xf numFmtId="1" fontId="43" fillId="34" borderId="29" xfId="0" applyNumberFormat="1" applyFont="1" applyFill="1" applyBorder="1"/>
    <xf numFmtId="167" fontId="43" fillId="6" borderId="29" xfId="0" applyNumberFormat="1" applyFont="1" applyFill="1" applyBorder="1"/>
    <xf numFmtId="167" fontId="43" fillId="34" borderId="29" xfId="0" applyNumberFormat="1" applyFont="1" applyFill="1" applyBorder="1"/>
    <xf numFmtId="167" fontId="43" fillId="34" borderId="30" xfId="0" applyNumberFormat="1" applyFont="1" applyFill="1" applyBorder="1"/>
    <xf numFmtId="0" fontId="8" fillId="20" borderId="6" xfId="0" applyFont="1" applyFill="1" applyBorder="1" applyAlignment="1">
      <alignment horizontal="left" vertical="center" wrapText="1"/>
    </xf>
    <xf numFmtId="9" fontId="8" fillId="20" borderId="4" xfId="6" applyFont="1" applyFill="1" applyBorder="1" applyAlignment="1">
      <alignment horizontal="right" vertical="center" wrapText="1"/>
    </xf>
    <xf numFmtId="0" fontId="8" fillId="20" borderId="2" xfId="0" applyFont="1" applyFill="1" applyBorder="1" applyAlignment="1">
      <alignment horizontal="left" vertical="center" wrapText="1"/>
    </xf>
    <xf numFmtId="44" fontId="8" fillId="20" borderId="32" xfId="5" applyFont="1" applyFill="1" applyBorder="1" applyAlignment="1">
      <alignment horizontal="right" vertical="center" wrapText="1"/>
    </xf>
    <xf numFmtId="0" fontId="7" fillId="0" borderId="0" xfId="0" applyFont="1" applyAlignment="1">
      <alignment horizontal="center"/>
    </xf>
    <xf numFmtId="44" fontId="8" fillId="20" borderId="3" xfId="5" applyFont="1" applyFill="1" applyBorder="1" applyAlignment="1">
      <alignment horizontal="right" vertical="center" wrapText="1"/>
    </xf>
    <xf numFmtId="0" fontId="52" fillId="0" borderId="0" xfId="0" applyFont="1"/>
    <xf numFmtId="0" fontId="7" fillId="0" borderId="0" xfId="0" applyFont="1" applyAlignment="1">
      <alignment horizontal="center" vertical="center" wrapText="1"/>
    </xf>
    <xf numFmtId="0" fontId="38" fillId="0" borderId="0" xfId="0" applyFont="1" applyAlignment="1">
      <alignment horizontal="center" vertical="center"/>
    </xf>
    <xf numFmtId="0" fontId="38" fillId="0" borderId="12" xfId="0" applyFont="1" applyBorder="1"/>
    <xf numFmtId="0" fontId="38" fillId="0" borderId="13" xfId="0" applyFont="1" applyBorder="1"/>
    <xf numFmtId="0" fontId="53" fillId="8" borderId="0" xfId="0" applyFont="1" applyFill="1" applyAlignment="1">
      <alignment horizontal="center" vertical="center"/>
    </xf>
    <xf numFmtId="1" fontId="53" fillId="8" borderId="0" xfId="0" applyNumberFormat="1" applyFont="1" applyFill="1" applyAlignment="1">
      <alignment horizontal="center" vertical="center"/>
    </xf>
    <xf numFmtId="10" fontId="16" fillId="2" borderId="5" xfId="0" applyNumberFormat="1" applyFont="1" applyFill="1" applyBorder="1" applyAlignment="1">
      <alignment horizontal="center" vertical="center" wrapText="1"/>
    </xf>
    <xf numFmtId="10" fontId="16" fillId="2" borderId="5" xfId="0" applyNumberFormat="1" applyFont="1" applyFill="1" applyBorder="1" applyAlignment="1">
      <alignment horizontal="left" vertical="center" wrapText="1"/>
    </xf>
    <xf numFmtId="0" fontId="53" fillId="7" borderId="0" xfId="0" applyFont="1" applyFill="1" applyAlignment="1">
      <alignment horizontal="center" vertical="center"/>
    </xf>
    <xf numFmtId="0" fontId="14" fillId="36" borderId="5" xfId="0" applyFont="1" applyFill="1" applyBorder="1" applyAlignment="1">
      <alignment horizontal="center" vertical="center"/>
    </xf>
    <xf numFmtId="10" fontId="31" fillId="2" borderId="5" xfId="0" applyNumberFormat="1" applyFont="1" applyFill="1" applyBorder="1" applyAlignment="1">
      <alignment horizontal="left" vertical="center" wrapText="1"/>
    </xf>
    <xf numFmtId="0" fontId="16" fillId="2" borderId="5" xfId="0" applyFont="1" applyFill="1" applyBorder="1" applyAlignment="1">
      <alignment horizontal="left" vertical="center" wrapText="1"/>
    </xf>
    <xf numFmtId="0" fontId="38" fillId="0" borderId="0" xfId="0" applyFont="1" applyAlignment="1">
      <alignment vertical="center"/>
    </xf>
    <xf numFmtId="0" fontId="38" fillId="0" borderId="0" xfId="0" applyFont="1" applyAlignment="1">
      <alignment horizontal="center" wrapText="1"/>
    </xf>
    <xf numFmtId="0" fontId="38" fillId="0" borderId="0" xfId="0" applyFont="1" applyAlignment="1">
      <alignment wrapText="1"/>
    </xf>
    <xf numFmtId="4" fontId="17" fillId="0" borderId="0" xfId="0" applyNumberFormat="1" applyFont="1" applyAlignment="1">
      <alignment horizontal="right" vertical="center" wrapText="1"/>
    </xf>
    <xf numFmtId="0" fontId="17" fillId="0" borderId="0" xfId="0" applyFont="1" applyAlignment="1">
      <alignment horizontal="left" vertical="center" wrapText="1"/>
    </xf>
    <xf numFmtId="165" fontId="38" fillId="0" borderId="0" xfId="0" applyNumberFormat="1" applyFont="1"/>
    <xf numFmtId="0" fontId="58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38" fillId="2" borderId="5" xfId="0" applyFont="1" applyFill="1" applyBorder="1"/>
    <xf numFmtId="167" fontId="38" fillId="0" borderId="0" xfId="0" applyNumberFormat="1" applyFont="1"/>
    <xf numFmtId="164" fontId="38" fillId="0" borderId="0" xfId="0" applyNumberFormat="1" applyFont="1"/>
    <xf numFmtId="1" fontId="38" fillId="0" borderId="0" xfId="0" applyNumberFormat="1" applyFont="1"/>
    <xf numFmtId="168" fontId="18" fillId="29" borderId="2" xfId="0" applyNumberFormat="1" applyFont="1" applyFill="1" applyBorder="1" applyAlignment="1">
      <alignment horizontal="right"/>
    </xf>
    <xf numFmtId="168" fontId="18" fillId="26" borderId="2" xfId="0" applyNumberFormat="1" applyFont="1" applyFill="1" applyBorder="1" applyAlignment="1">
      <alignment horizontal="right"/>
    </xf>
    <xf numFmtId="175" fontId="38" fillId="0" borderId="0" xfId="0" applyNumberFormat="1" applyFont="1"/>
    <xf numFmtId="9" fontId="38" fillId="0" borderId="0" xfId="0" applyNumberFormat="1" applyFont="1"/>
    <xf numFmtId="49" fontId="38" fillId="0" borderId="0" xfId="0" applyNumberFormat="1" applyFont="1"/>
    <xf numFmtId="168" fontId="38" fillId="0" borderId="2" xfId="0" applyNumberFormat="1" applyFont="1" applyBorder="1" applyAlignment="1">
      <alignment horizontal="right"/>
    </xf>
    <xf numFmtId="168" fontId="38" fillId="14" borderId="2" xfId="0" applyNumberFormat="1" applyFont="1" applyFill="1" applyBorder="1" applyAlignment="1">
      <alignment horizontal="right"/>
    </xf>
    <xf numFmtId="170" fontId="38" fillId="0" borderId="2" xfId="0" applyNumberFormat="1" applyFont="1" applyBorder="1" applyAlignment="1">
      <alignment horizontal="right"/>
    </xf>
    <xf numFmtId="0" fontId="38" fillId="13" borderId="2" xfId="0" applyFont="1" applyFill="1" applyBorder="1" applyAlignment="1">
      <alignment horizontal="right" vertical="center"/>
    </xf>
    <xf numFmtId="1" fontId="38" fillId="7" borderId="2" xfId="0" applyNumberFormat="1" applyFont="1" applyFill="1" applyBorder="1" applyAlignment="1">
      <alignment horizontal="right" vertical="center"/>
    </xf>
    <xf numFmtId="1" fontId="38" fillId="8" borderId="2" xfId="0" applyNumberFormat="1" applyFont="1" applyFill="1" applyBorder="1" applyAlignment="1">
      <alignment horizontal="center" vertical="center"/>
    </xf>
    <xf numFmtId="1" fontId="38" fillId="4" borderId="2" xfId="0" applyNumberFormat="1" applyFont="1" applyFill="1" applyBorder="1" applyAlignment="1">
      <alignment horizontal="right" vertical="center"/>
    </xf>
    <xf numFmtId="9" fontId="38" fillId="0" borderId="2" xfId="0" applyNumberFormat="1" applyFont="1" applyBorder="1" applyAlignment="1">
      <alignment horizontal="right" vertical="center"/>
    </xf>
    <xf numFmtId="10" fontId="38" fillId="0" borderId="2" xfId="0" applyNumberFormat="1" applyFont="1" applyBorder="1" applyAlignment="1">
      <alignment horizontal="right" vertical="center"/>
    </xf>
    <xf numFmtId="10" fontId="38" fillId="3" borderId="2" xfId="0" applyNumberFormat="1" applyFont="1" applyFill="1" applyBorder="1" applyAlignment="1">
      <alignment horizontal="right" vertical="center"/>
    </xf>
    <xf numFmtId="10" fontId="38" fillId="0" borderId="2" xfId="0" applyNumberFormat="1" applyFont="1" applyBorder="1" applyAlignment="1">
      <alignment horizontal="right"/>
    </xf>
    <xf numFmtId="0" fontId="38" fillId="11" borderId="9" xfId="0" applyFont="1" applyFill="1" applyBorder="1"/>
    <xf numFmtId="10" fontId="38" fillId="4" borderId="2" xfId="0" applyNumberFormat="1" applyFont="1" applyFill="1" applyBorder="1" applyAlignment="1">
      <alignment horizontal="right" vertical="center"/>
    </xf>
    <xf numFmtId="0" fontId="38" fillId="14" borderId="0" xfId="0" applyFont="1" applyFill="1"/>
    <xf numFmtId="0" fontId="38" fillId="15" borderId="0" xfId="0" applyFont="1" applyFill="1" applyAlignment="1">
      <alignment horizontal="center"/>
    </xf>
    <xf numFmtId="0" fontId="38" fillId="13" borderId="0" xfId="0" applyFont="1" applyFill="1"/>
    <xf numFmtId="170" fontId="38" fillId="0" borderId="2" xfId="0" applyNumberFormat="1" applyFont="1" applyBorder="1" applyAlignment="1">
      <alignment horizontal="center" vertical="center"/>
    </xf>
    <xf numFmtId="1" fontId="38" fillId="0" borderId="2" xfId="0" applyNumberFormat="1" applyFont="1" applyBorder="1" applyAlignment="1">
      <alignment horizontal="center" vertical="center"/>
    </xf>
    <xf numFmtId="0" fontId="38" fillId="3" borderId="2" xfId="0" applyFont="1" applyFill="1" applyBorder="1" applyAlignment="1">
      <alignment horizontal="center" vertical="center"/>
    </xf>
    <xf numFmtId="0" fontId="38" fillId="17" borderId="0" xfId="0" applyFont="1" applyFill="1"/>
    <xf numFmtId="170" fontId="38" fillId="14" borderId="2" xfId="0" applyNumberFormat="1" applyFont="1" applyFill="1" applyBorder="1" applyAlignment="1">
      <alignment horizontal="center" vertical="center"/>
    </xf>
    <xf numFmtId="1" fontId="38" fillId="14" borderId="2" xfId="0" applyNumberFormat="1" applyFont="1" applyFill="1" applyBorder="1" applyAlignment="1">
      <alignment horizontal="center" vertical="center"/>
    </xf>
    <xf numFmtId="0" fontId="38" fillId="18" borderId="0" xfId="0" applyFont="1" applyFill="1"/>
    <xf numFmtId="0" fontId="38" fillId="19" borderId="2" xfId="0" applyFont="1" applyFill="1" applyBorder="1" applyAlignment="1">
      <alignment horizontal="center" vertical="center"/>
    </xf>
    <xf numFmtId="0" fontId="38" fillId="14" borderId="2" xfId="0" applyFont="1" applyFill="1" applyBorder="1" applyAlignment="1">
      <alignment horizontal="center" vertical="center"/>
    </xf>
    <xf numFmtId="1" fontId="38" fillId="3" borderId="2" xfId="0" applyNumberFormat="1" applyFont="1" applyFill="1" applyBorder="1" applyAlignment="1">
      <alignment horizontal="center" vertical="center"/>
    </xf>
    <xf numFmtId="1" fontId="38" fillId="19" borderId="2" xfId="0" applyNumberFormat="1" applyFont="1" applyFill="1" applyBorder="1" applyAlignment="1">
      <alignment horizontal="center" vertical="center"/>
    </xf>
    <xf numFmtId="176" fontId="38" fillId="0" borderId="0" xfId="0" applyNumberFormat="1" applyFont="1" applyAlignment="1">
      <alignment horizontal="center" vertical="center"/>
    </xf>
    <xf numFmtId="0" fontId="38" fillId="13" borderId="2" xfId="0" applyFont="1" applyFill="1" applyBorder="1" applyAlignment="1">
      <alignment horizontal="center" vertical="center"/>
    </xf>
    <xf numFmtId="1" fontId="38" fillId="7" borderId="2" xfId="0" applyNumberFormat="1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 wrapText="1"/>
    </xf>
    <xf numFmtId="168" fontId="38" fillId="0" borderId="0" xfId="0" applyNumberFormat="1" applyFont="1" applyAlignment="1">
      <alignment horizontal="right"/>
    </xf>
    <xf numFmtId="10" fontId="38" fillId="3" borderId="0" xfId="0" applyNumberFormat="1" applyFont="1" applyFill="1" applyAlignment="1">
      <alignment horizontal="center" vertical="center"/>
    </xf>
    <xf numFmtId="10" fontId="38" fillId="13" borderId="0" xfId="0" applyNumberFormat="1" applyFont="1" applyFill="1" applyAlignment="1">
      <alignment horizontal="center" vertical="center"/>
    </xf>
    <xf numFmtId="174" fontId="43" fillId="5" borderId="2" xfId="0" applyNumberFormat="1" applyFont="1" applyFill="1" applyBorder="1"/>
    <xf numFmtId="2" fontId="43" fillId="5" borderId="2" xfId="0" applyNumberFormat="1" applyFont="1" applyFill="1" applyBorder="1"/>
    <xf numFmtId="167" fontId="43" fillId="5" borderId="2" xfId="0" applyNumberFormat="1" applyFont="1" applyFill="1" applyBorder="1"/>
    <xf numFmtId="174" fontId="43" fillId="35" borderId="2" xfId="0" applyNumberFormat="1" applyFont="1" applyFill="1" applyBorder="1"/>
    <xf numFmtId="174" fontId="43" fillId="35" borderId="29" xfId="0" applyNumberFormat="1" applyFont="1" applyFill="1" applyBorder="1"/>
    <xf numFmtId="2" fontId="43" fillId="5" borderId="29" xfId="0" applyNumberFormat="1" applyFont="1" applyFill="1" applyBorder="1"/>
    <xf numFmtId="178" fontId="54" fillId="3" borderId="5" xfId="0" applyNumberFormat="1" applyFont="1" applyFill="1" applyBorder="1" applyAlignment="1">
      <alignment horizontal="right" vertical="center"/>
    </xf>
    <xf numFmtId="178" fontId="55" fillId="22" borderId="5" xfId="0" applyNumberFormat="1" applyFont="1" applyFill="1" applyBorder="1" applyAlignment="1">
      <alignment horizontal="right" vertical="center"/>
    </xf>
    <xf numFmtId="178" fontId="56" fillId="3" borderId="5" xfId="0" applyNumberFormat="1" applyFont="1" applyFill="1" applyBorder="1" applyAlignment="1">
      <alignment horizontal="right" vertical="center"/>
    </xf>
    <xf numFmtId="178" fontId="57" fillId="3" borderId="5" xfId="0" applyNumberFormat="1" applyFont="1" applyFill="1" applyBorder="1" applyAlignment="1">
      <alignment horizontal="right" vertical="center"/>
    </xf>
    <xf numFmtId="9" fontId="59" fillId="0" borderId="0" xfId="6" applyFont="1" applyAlignment="1">
      <alignment vertical="center"/>
    </xf>
    <xf numFmtId="2" fontId="59" fillId="0" borderId="12" xfId="0" applyNumberFormat="1" applyFont="1" applyBorder="1" applyAlignment="1">
      <alignment vertical="center"/>
    </xf>
    <xf numFmtId="167" fontId="56" fillId="0" borderId="3" xfId="0" applyNumberFormat="1" applyFont="1" applyBorder="1"/>
    <xf numFmtId="167" fontId="56" fillId="0" borderId="2" xfId="0" applyNumberFormat="1" applyFont="1" applyBorder="1"/>
    <xf numFmtId="167" fontId="56" fillId="0" borderId="29" xfId="0" applyNumberFormat="1" applyFont="1" applyBorder="1"/>
    <xf numFmtId="0" fontId="8" fillId="37" borderId="33" xfId="0" applyFont="1" applyFill="1" applyBorder="1" applyAlignment="1">
      <alignment horizontal="left" vertical="center" wrapText="1"/>
    </xf>
    <xf numFmtId="0" fontId="8" fillId="37" borderId="21" xfId="0" applyFont="1" applyFill="1" applyBorder="1" applyAlignment="1">
      <alignment horizontal="left" vertical="center" wrapText="1"/>
    </xf>
    <xf numFmtId="1" fontId="54" fillId="3" borderId="5" xfId="0" applyNumberFormat="1" applyFont="1" applyFill="1" applyBorder="1" applyAlignment="1">
      <alignment horizontal="right" vertical="center"/>
    </xf>
    <xf numFmtId="0" fontId="8" fillId="37" borderId="0" xfId="0" applyFont="1" applyFill="1" applyAlignment="1">
      <alignment horizontal="left" vertical="center" wrapText="1"/>
    </xf>
    <xf numFmtId="0" fontId="6" fillId="3" borderId="6" xfId="0" applyFont="1" applyFill="1" applyBorder="1" applyAlignment="1">
      <alignment horizontal="center" vertical="center"/>
    </xf>
    <xf numFmtId="10" fontId="31" fillId="2" borderId="34" xfId="0" applyNumberFormat="1" applyFont="1" applyFill="1" applyBorder="1" applyAlignment="1">
      <alignment horizontal="center" vertical="center" wrapText="1"/>
    </xf>
    <xf numFmtId="0" fontId="44" fillId="25" borderId="0" xfId="0" applyFont="1" applyFill="1" applyAlignment="1">
      <alignment horizontal="left" vertical="top"/>
    </xf>
    <xf numFmtId="168" fontId="18" fillId="25" borderId="0" xfId="0" applyNumberFormat="1" applyFont="1" applyFill="1" applyAlignment="1">
      <alignment horizontal="right"/>
    </xf>
    <xf numFmtId="9" fontId="18" fillId="31" borderId="0" xfId="0" applyNumberFormat="1" applyFont="1" applyFill="1" applyAlignment="1">
      <alignment horizontal="right"/>
    </xf>
    <xf numFmtId="179" fontId="18" fillId="28" borderId="2" xfId="0" applyNumberFormat="1" applyFont="1" applyFill="1" applyBorder="1" applyAlignment="1">
      <alignment horizontal="right"/>
    </xf>
    <xf numFmtId="179" fontId="18" fillId="25" borderId="2" xfId="0" applyNumberFormat="1" applyFont="1" applyFill="1" applyBorder="1" applyAlignment="1">
      <alignment horizontal="right"/>
    </xf>
    <xf numFmtId="1" fontId="18" fillId="28" borderId="7" xfId="0" applyNumberFormat="1" applyFont="1" applyFill="1" applyBorder="1" applyAlignment="1">
      <alignment horizontal="right"/>
    </xf>
    <xf numFmtId="10" fontId="16" fillId="0" borderId="0" xfId="0" applyNumberFormat="1" applyFont="1" applyAlignment="1">
      <alignment vertical="center" wrapText="1"/>
    </xf>
    <xf numFmtId="180" fontId="34" fillId="10" borderId="0" xfId="0" applyNumberFormat="1" applyFont="1" applyFill="1" applyAlignment="1">
      <alignment horizontal="center" vertical="center"/>
    </xf>
    <xf numFmtId="180" fontId="42" fillId="24" borderId="0" xfId="0" applyNumberFormat="1" applyFont="1" applyFill="1"/>
    <xf numFmtId="1" fontId="26" fillId="3" borderId="5" xfId="0" applyNumberFormat="1" applyFont="1" applyFill="1" applyBorder="1" applyAlignment="1">
      <alignment horizontal="right" vertical="center"/>
    </xf>
    <xf numFmtId="180" fontId="42" fillId="0" borderId="0" xfId="0" applyNumberFormat="1" applyFont="1"/>
    <xf numFmtId="0" fontId="6" fillId="3" borderId="4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8" fillId="37" borderId="23" xfId="0" applyFont="1" applyFill="1" applyBorder="1" applyAlignment="1">
      <alignment horizontal="center" vertical="center" wrapText="1"/>
    </xf>
    <xf numFmtId="0" fontId="8" fillId="37" borderId="0" xfId="0" applyFont="1" applyFill="1" applyAlignment="1">
      <alignment horizontal="center" vertical="center" wrapText="1"/>
    </xf>
    <xf numFmtId="0" fontId="8" fillId="37" borderId="31" xfId="0" applyFont="1" applyFill="1" applyBorder="1" applyAlignment="1">
      <alignment horizontal="center" vertical="center" wrapText="1"/>
    </xf>
    <xf numFmtId="0" fontId="15" fillId="11" borderId="34" xfId="0" applyFont="1" applyFill="1" applyBorder="1" applyAlignment="1">
      <alignment horizontal="center" vertical="center"/>
    </xf>
    <xf numFmtId="0" fontId="15" fillId="11" borderId="12" xfId="0" applyFont="1" applyFill="1" applyBorder="1" applyAlignment="1">
      <alignment horizontal="center" vertical="center"/>
    </xf>
    <xf numFmtId="0" fontId="14" fillId="9" borderId="34" xfId="0" applyFont="1" applyFill="1" applyBorder="1" applyAlignment="1">
      <alignment horizontal="center" vertical="center"/>
    </xf>
    <xf numFmtId="0" fontId="14" fillId="9" borderId="12" xfId="0" applyFont="1" applyFill="1" applyBorder="1" applyAlignment="1">
      <alignment horizontal="center" vertical="center"/>
    </xf>
    <xf numFmtId="0" fontId="14" fillId="10" borderId="34" xfId="0" applyFont="1" applyFill="1" applyBorder="1" applyAlignment="1">
      <alignment horizontal="center" vertical="center"/>
    </xf>
    <xf numFmtId="0" fontId="14" fillId="10" borderId="13" xfId="0" applyFont="1" applyFill="1" applyBorder="1" applyAlignment="1">
      <alignment horizontal="center" vertical="center"/>
    </xf>
    <xf numFmtId="0" fontId="35" fillId="11" borderId="34" xfId="0" applyFont="1" applyFill="1" applyBorder="1" applyAlignment="1">
      <alignment horizontal="center" vertical="center"/>
    </xf>
    <xf numFmtId="0" fontId="35" fillId="11" borderId="12" xfId="0" applyFont="1" applyFill="1" applyBorder="1" applyAlignment="1">
      <alignment horizontal="center" vertical="center"/>
    </xf>
    <xf numFmtId="0" fontId="28" fillId="9" borderId="5" xfId="0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29" fillId="2" borderId="0" xfId="0" applyFont="1" applyFill="1" applyAlignment="1">
      <alignment horizontal="left" vertical="center"/>
    </xf>
    <xf numFmtId="0" fontId="0" fillId="0" borderId="0" xfId="0"/>
    <xf numFmtId="0" fontId="15" fillId="11" borderId="5" xfId="0" applyFont="1" applyFill="1" applyBorder="1" applyAlignment="1">
      <alignment horizontal="left" vertical="center"/>
    </xf>
    <xf numFmtId="0" fontId="15" fillId="11" borderId="5" xfId="0" applyFont="1" applyFill="1" applyBorder="1"/>
    <xf numFmtId="0" fontId="32" fillId="9" borderId="5" xfId="0" applyFont="1" applyFill="1" applyBorder="1" applyAlignment="1">
      <alignment horizontal="center" vertical="center"/>
    </xf>
    <xf numFmtId="0" fontId="37" fillId="21" borderId="5" xfId="0" applyFont="1" applyFill="1" applyBorder="1" applyAlignment="1">
      <alignment horizontal="left" vertical="center"/>
    </xf>
    <xf numFmtId="0" fontId="33" fillId="2" borderId="5" xfId="0" applyFont="1" applyFill="1" applyBorder="1" applyAlignment="1">
      <alignment horizontal="left" vertical="center" wrapText="1"/>
    </xf>
    <xf numFmtId="0" fontId="6" fillId="0" borderId="2" xfId="0" applyFont="1" applyBorder="1" applyAlignment="1">
      <alignment horizontal="center" vertical="center"/>
    </xf>
    <xf numFmtId="0" fontId="0" fillId="0" borderId="22" xfId="0" applyBorder="1"/>
    <xf numFmtId="0" fontId="0" fillId="0" borderId="24" xfId="0" applyBorder="1"/>
    <xf numFmtId="0" fontId="0" fillId="0" borderId="23" xfId="0" applyBorder="1"/>
    <xf numFmtId="0" fontId="0" fillId="0" borderId="0" xfId="0" applyAlignment="1">
      <alignment wrapText="1"/>
    </xf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164" fontId="13" fillId="9" borderId="5" xfId="0" applyNumberFormat="1" applyFont="1" applyFill="1" applyBorder="1" applyAlignment="1">
      <alignment horizontal="center" vertical="center"/>
    </xf>
    <xf numFmtId="0" fontId="38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164" fontId="13" fillId="9" borderId="19" xfId="0" applyNumberFormat="1" applyFont="1" applyFill="1" applyBorder="1" applyAlignment="1">
      <alignment horizontal="center" vertical="center"/>
    </xf>
    <xf numFmtId="0" fontId="8" fillId="12" borderId="0" xfId="0" applyFont="1" applyFill="1" applyAlignment="1">
      <alignment horizontal="center"/>
    </xf>
    <xf numFmtId="0" fontId="11" fillId="3" borderId="0" xfId="0" applyFont="1" applyFill="1" applyAlignment="1">
      <alignment horizontal="left" vertical="top"/>
    </xf>
    <xf numFmtId="0" fontId="11" fillId="3" borderId="0" xfId="0" applyFont="1" applyFill="1" applyAlignment="1">
      <alignment horizontal="center"/>
    </xf>
    <xf numFmtId="0" fontId="38" fillId="18" borderId="0" xfId="0" applyFont="1" applyFill="1" applyAlignment="1">
      <alignment horizontal="center" vertical="center"/>
    </xf>
    <xf numFmtId="0" fontId="27" fillId="0" borderId="0" xfId="0" applyFont="1" applyAlignment="1">
      <alignment horizontal="center"/>
    </xf>
    <xf numFmtId="0" fontId="5" fillId="15" borderId="0" xfId="0" applyFont="1" applyFill="1" applyAlignment="1">
      <alignment horizontal="center"/>
    </xf>
    <xf numFmtId="0" fontId="38" fillId="17" borderId="0" xfId="0" applyFont="1" applyFill="1" applyAlignment="1">
      <alignment horizontal="center" vertical="center"/>
    </xf>
    <xf numFmtId="0" fontId="38" fillId="13" borderId="0" xfId="0" applyFont="1" applyFill="1" applyAlignment="1">
      <alignment horizontal="center" vertical="center"/>
    </xf>
    <xf numFmtId="1" fontId="26" fillId="3" borderId="5" xfId="0" applyNumberFormat="1" applyFont="1" applyFill="1" applyBorder="1" applyAlignment="1">
      <alignment horizontal="left" vertical="center"/>
    </xf>
  </cellXfs>
  <cellStyles count="7">
    <cellStyle name="Banded" xfId="1" xr:uid="{00000000-0005-0000-0000-000001000000}"/>
    <cellStyle name="Currency" xfId="5" builtinId="4"/>
    <cellStyle name="Day" xfId="2" xr:uid="{00000000-0005-0000-0000-000002000000}"/>
    <cellStyle name="Day-Name" xfId="3" xr:uid="{00000000-0005-0000-0000-000003000000}"/>
    <cellStyle name="Month" xfId="4" xr:uid="{00000000-0005-0000-0000-000004000000}"/>
    <cellStyle name="Normal" xfId="0" builtinId="0"/>
    <cellStyle name="Percent" xfId="6" builtinId="5"/>
  </cellStyles>
  <dxfs count="128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strike val="0"/>
        <color rgb="FFFFFFFF"/>
      </font>
      <fill>
        <patternFill>
          <bgColor rgb="FF00B0F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FFFF"/>
      </font>
      <fill>
        <patternFill>
          <bgColor rgb="FF00B050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FFC000"/>
      </font>
    </dxf>
    <dxf>
      <font>
        <b/>
        <i/>
        <color rgb="FF00B050"/>
      </font>
    </dxf>
    <dxf>
      <font>
        <b/>
        <i/>
        <color rgb="FFFF0000"/>
      </font>
    </dxf>
    <dxf>
      <font>
        <b/>
        <i/>
        <color rgb="FFFFC000"/>
      </font>
    </dxf>
    <dxf>
      <numFmt numFmtId="30" formatCode="@"/>
    </dxf>
    <dxf>
      <font>
        <strike val="0"/>
        <outline val="0"/>
        <shadow val="0"/>
        <vertAlign val="baseline"/>
        <sz val="10"/>
        <name val="Calibri"/>
        <family val="2"/>
        <charset val="1"/>
      </font>
    </dxf>
    <dxf>
      <font>
        <strike val="0"/>
        <outline val="0"/>
        <shadow val="0"/>
        <vertAlign val="baseline"/>
        <sz val="10"/>
        <name val="Calibri"/>
        <family val="2"/>
        <charset val="1"/>
      </font>
    </dxf>
    <dxf>
      <font>
        <strike val="0"/>
        <outline val="0"/>
        <shadow val="0"/>
        <vertAlign val="baseline"/>
        <sz val="10"/>
        <name val="Calibri"/>
        <family val="2"/>
        <charset val="1"/>
      </font>
    </dxf>
    <dxf>
      <font>
        <strike val="0"/>
        <outline val="0"/>
        <shadow val="0"/>
        <vertAlign val="baseline"/>
        <sz val="10"/>
        <name val="Calibri"/>
        <family val="2"/>
        <charset val="1"/>
      </font>
    </dxf>
    <dxf>
      <font>
        <strike val="0"/>
        <outline val="0"/>
        <shadow val="0"/>
        <vertAlign val="baseline"/>
        <sz val="10"/>
        <name val="Calibri"/>
        <family val="2"/>
        <charset val="1"/>
      </font>
    </dxf>
    <dxf>
      <font>
        <strike val="0"/>
        <outline val="0"/>
        <shadow val="0"/>
        <vertAlign val="baseline"/>
        <sz val="10"/>
        <name val="Calibri"/>
        <family val="2"/>
        <charset val="1"/>
      </font>
    </dxf>
    <dxf>
      <numFmt numFmtId="30" formatCode="@"/>
    </dxf>
    <dxf>
      <border>
        <bottom style="thin">
          <color auto="1"/>
        </bottom>
      </border>
    </dxf>
    <dxf>
      <border>
        <left/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fill>
        <patternFill patternType="solid">
          <fgColor rgb="FFF2F2F2"/>
          <bgColor theme="4" tint="-0.49998474074526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" formatCode="0"/>
      <fill>
        <patternFill patternType="solid">
          <fgColor indexed="64"/>
          <bgColor theme="4" tint="0.3999755851924192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fill>
        <patternFill patternType="solid">
          <fgColor rgb="FFF2F2F2"/>
          <bgColor theme="4" tint="-0.49998474074526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7" formatCode="_-\$* #,##0.00_-;&quot;-$&quot;* #,##0.00_-;_-\$* \-??_-;_-@_-"/>
      <border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fill>
        <patternFill patternType="solid">
          <fgColor rgb="FFF2F2F2"/>
          <bgColor theme="4" tint="-0.49998474074526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7" formatCode="_-\$* #,##0.00_-;&quot;-$&quot;* #,##0.00_-;_-\$* \-??_-;_-@_-"/>
      <fill>
        <patternFill patternType="solid">
          <fgColor indexed="64"/>
          <bgColor theme="0"/>
        </patternFill>
      </fill>
      <border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fill>
        <patternFill patternType="solid">
          <fgColor rgb="FFF2F2F2"/>
          <bgColor theme="4" tint="-0.49998474074526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7" formatCode="_-\$* #,##0.00_-;&quot;-$&quot;* #,##0.00_-;_-\$* \-??_-;_-@_-"/>
      <fill>
        <patternFill patternType="solid">
          <fgColor indexed="64"/>
          <bgColor theme="4" tint="0.39997558519241921"/>
        </patternFill>
      </fill>
      <border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fill>
        <patternFill patternType="solid">
          <fgColor rgb="FFF2F2F2"/>
          <bgColor theme="4" tint="-0.499984740745262"/>
        </patternFill>
      </fill>
      <alignment horizontal="right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7" formatCode="_-\$* #,##0.00_-;&quot;-$&quot;* #,##0.00_-;_-\$* \-??_-;_-@_-"/>
      <fill>
        <patternFill patternType="solid">
          <fgColor indexed="64"/>
          <bgColor theme="4" tint="0.3999755851924192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fill>
        <patternFill patternType="solid">
          <fgColor rgb="FFF2F2F2"/>
          <bgColor theme="4" tint="-0.49998474074526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7" formatCode="_-\$* #,##0.00_-;&quot;-$&quot;* #,##0.00_-;_-\$* \-??_-;_-@_-"/>
      <fill>
        <patternFill patternType="solid">
          <fgColor rgb="FFD9D9D9"/>
          <bgColor theme="2" tint="-9.9978637043366805E-2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fill>
        <patternFill patternType="solid">
          <fgColor rgb="FFF2F2F2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7" formatCode="_-\$* #,##0.00_-;&quot;-$&quot;* #,##0.00_-;_-\$* \-??_-;_-@_-"/>
      <fill>
        <patternFill patternType="solid">
          <fgColor indexed="64"/>
          <bgColor theme="4" tint="0.3999755851924192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fill>
        <patternFill patternType="solid">
          <fgColor rgb="FFF2F2F2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7" formatCode="_-\$* #,##0.00_-;&quot;-$&quot;* #,##0.00_-;_-\$* \-??_-;_-@_-"/>
      <fill>
        <patternFill patternType="solid">
          <fgColor rgb="FFD9D9D9"/>
          <bgColor theme="2" tint="-9.9978637043366805E-2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fill>
        <patternFill patternType="solid">
          <fgColor rgb="FFF2F2F2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7" formatCode="_-\$* #,##0.00_-;&quot;-$&quot;* #,##0.00_-;_-\$* \-??_-;_-@_-"/>
      <fill>
        <patternFill patternType="solid">
          <fgColor indexed="64"/>
          <bgColor theme="4" tint="0.3999755851924192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fill>
        <patternFill patternType="solid">
          <fgColor rgb="FFF2F2F2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7" formatCode="_-\$* #,##0.00_-;&quot;-$&quot;* #,##0.00_-;_-\$* \-??_-;_-@_-"/>
      <fill>
        <patternFill patternType="solid">
          <fgColor rgb="FF404040"/>
          <bgColor theme="2" tint="-0.74999237037263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fill>
        <patternFill patternType="solid">
          <fgColor rgb="FFF2F2F2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7" formatCode="_-\$* #,##0.00_-;&quot;-$&quot;* #,##0.00_-;_-\$* \-??_-;_-@_-"/>
      <fill>
        <patternFill patternType="solid">
          <fgColor indexed="64"/>
          <bgColor theme="4" tint="0.3999755851924192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fill>
        <patternFill patternType="solid">
          <fgColor rgb="FFF2F2F2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7" formatCode="_-\$* #,##0.00_-;&quot;-$&quot;* #,##0.00_-;_-\$* \-??_-;_-@_-"/>
      <fill>
        <patternFill patternType="solid">
          <fgColor indexed="64"/>
          <bgColor theme="4" tint="0.3999755851924192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fill>
        <patternFill patternType="solid">
          <fgColor rgb="FFF2F2F2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7" formatCode="_-\$* #,##0.00_-;&quot;-$&quot;* #,##0.00_-;_-\$* \-??_-;_-@_-"/>
      <fill>
        <patternFill patternType="solid">
          <fgColor rgb="FF404040"/>
          <bgColor theme="4" tint="0.3999755851924192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fill>
        <patternFill patternType="solid">
          <fgColor rgb="FFF2F2F2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7" formatCode="_-\$* #,##0.00_-;&quot;-$&quot;* #,##0.00_-;_-\$* \-??_-;_-@_-"/>
      <fill>
        <patternFill patternType="solid">
          <fgColor indexed="64"/>
          <bgColor theme="4" tint="0.3999755851924192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1"/>
        <scheme val="none"/>
      </font>
      <fill>
        <patternFill patternType="solid">
          <fgColor rgb="FFF2F2F2"/>
          <bgColor theme="0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67" formatCode="_-\$* #,##0.00_-;&quot;-$&quot;* #,##0.00_-;_-\$* \-??_-;_-@_-"/>
      <fill>
        <patternFill patternType="solid">
          <fgColor indexed="64"/>
          <bgColor theme="4" tint="0.39997558519241921"/>
        </patternFill>
      </fill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indexed="64"/>
        </top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charset val="1"/>
      </font>
      <fill>
        <patternFill patternType="solid">
          <fgColor rgb="FFF2F2F2"/>
          <bgColor theme="4" tint="-0.499984740745262"/>
        </patternFill>
      </fill>
      <alignment horizontal="left" vertical="center" wrapText="1"/>
    </dxf>
    <dxf>
      <border outline="0">
        <right style="thin">
          <color auto="1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outline="0">
        <bottom style="thin">
          <color auto="1"/>
        </bottom>
      </border>
    </dxf>
    <dxf>
      <font>
        <b/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charset val="1"/>
      </font>
      <fill>
        <patternFill patternType="solid">
          <fgColor rgb="FFF2F2F2"/>
          <bgColor theme="4" tint="-0.499984740745262"/>
        </patternFill>
      </fill>
      <alignment horizontal="center" vertical="center" wrapText="1"/>
      <border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202227"/>
      <rgbColor rgb="FF7F7F7F"/>
      <rgbColor rgb="FF800080"/>
      <rgbColor rgb="FF375623"/>
      <rgbColor rgb="FFBFBFBF"/>
      <rgbColor rgb="FF808080"/>
      <rgbColor rgb="FF8FAADC"/>
      <rgbColor rgb="FF993366"/>
      <rgbColor rgb="FFF2F2F2"/>
      <rgbColor rgb="FFDAE3F3"/>
      <rgbColor rgb="FF660066"/>
      <rgbColor rgb="FFD9D9D9"/>
      <rgbColor rgb="FF0066CC"/>
      <rgbColor rgb="FFB8CCE4"/>
      <rgbColor rgb="FF000080"/>
      <rgbColor rgb="FFFF00FF"/>
      <rgbColor rgb="FFFFEB9C"/>
      <rgbColor rgb="FF00FFFF"/>
      <rgbColor rgb="FF800080"/>
      <rgbColor rgb="FF800000"/>
      <rgbColor rgb="FF70AD47"/>
      <rgbColor rgb="FF0000FF"/>
      <rgbColor rgb="FF00B0F0"/>
      <rgbColor rgb="FFE7E6E6"/>
      <rgbColor rgb="FFC6EFCE"/>
      <rgbColor rgb="FFFFFF99"/>
      <rgbColor rgb="FF9DC3E6"/>
      <rgbColor rgb="FFD0CECE"/>
      <rgbColor rgb="FFA5A5A5"/>
      <rgbColor rgb="FFFFC7CE"/>
      <rgbColor rgb="FF4472C4"/>
      <rgbColor rgb="FF5B9BD5"/>
      <rgbColor rgb="FF92D050"/>
      <rgbColor rgb="FFFFC000"/>
      <rgbColor rgb="FFFF9900"/>
      <rgbColor rgb="FFED7D31"/>
      <rgbColor rgb="FF595959"/>
      <rgbColor rgb="FF8B8B8B"/>
      <rgbColor rgb="FF1F3864"/>
      <rgbColor rgb="FF00B050"/>
      <rgbColor rgb="FF1F1F1F"/>
      <rgbColor rgb="FF212529"/>
      <rgbColor rgb="FF9C5700"/>
      <rgbColor rgb="FF993366"/>
      <rgbColor rgb="FF404040"/>
      <rgbColor rgb="FF3B3838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lang="en-AU" sz="12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AU" sz="1200" b="1" strike="noStrike" spc="-1">
                <a:solidFill>
                  <a:srgbClr val="000000"/>
                </a:solidFill>
                <a:latin typeface="Calibri"/>
              </a:rPr>
              <a:t>Revised Cost vs Projected Cost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Deep_Dive!$C$18</c:f>
              <c:strCache>
                <c:ptCount val="1"/>
                <c:pt idx="0">
                  <c:v>Revised Budget</c:v>
                </c:pt>
              </c:strCache>
            </c:strRef>
          </c:tx>
          <c:spPr>
            <a:solidFill>
              <a:srgbClr val="4472C4"/>
            </a:solidFill>
            <a:ln w="0"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Deep_Dive!$A$19:$A$24</c:f>
              <c:strCache>
                <c:ptCount val="6"/>
                <c:pt idx="0">
                  <c:v>11-15 Station St</c:v>
                </c:pt>
                <c:pt idx="1">
                  <c:v>17 Glydon Ave</c:v>
                </c:pt>
                <c:pt idx="2">
                  <c:v>29 River Gum Close</c:v>
                </c:pt>
                <c:pt idx="3">
                  <c:v>30 Connelly</c:v>
                </c:pt>
                <c:pt idx="4">
                  <c:v>37 Robinson Street</c:v>
                </c:pt>
                <c:pt idx="5">
                  <c:v>801 MHBR </c:v>
                </c:pt>
              </c:strCache>
            </c:strRef>
          </c:cat>
          <c:val>
            <c:numRef>
              <c:f>Deep_Dive!$C$19:$C$24</c:f>
              <c:numCache>
                <c:formatCode>_("$"* #,##0.00_);_("$"* \(#,##0.00\);_("$"* "-"??_);_(@_)</c:formatCode>
                <c:ptCount val="6"/>
                <c:pt idx="0">
                  <c:v>522579.28</c:v>
                </c:pt>
                <c:pt idx="1">
                  <c:v>918288.18</c:v>
                </c:pt>
                <c:pt idx="2">
                  <c:v>226974.11</c:v>
                </c:pt>
                <c:pt idx="3">
                  <c:v>337055.12</c:v>
                </c:pt>
                <c:pt idx="4">
                  <c:v>611074.92000000004</c:v>
                </c:pt>
                <c:pt idx="5">
                  <c:v>17560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08-46F7-8014-5AB0F7C65472}"/>
            </c:ext>
          </c:extLst>
        </c:ser>
        <c:ser>
          <c:idx val="1"/>
          <c:order val="1"/>
          <c:tx>
            <c:strRef>
              <c:f>Deep_Dive!$D$18</c:f>
              <c:strCache>
                <c:ptCount val="1"/>
                <c:pt idx="0">
                  <c:v>Projected Cost</c:v>
                </c:pt>
              </c:strCache>
            </c:strRef>
          </c:tx>
          <c:spPr>
            <a:solidFill>
              <a:srgbClr val="ED7D31"/>
            </a:solidFill>
            <a:ln w="0"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 wrap="square"/>
              <a:lstStyle/>
              <a:p>
                <a:pPr>
                  <a:defRPr sz="1000" b="0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Deep_Dive!$A$19:$A$24</c:f>
              <c:strCache>
                <c:ptCount val="6"/>
                <c:pt idx="0">
                  <c:v>11-15 Station St</c:v>
                </c:pt>
                <c:pt idx="1">
                  <c:v>17 Glydon Ave</c:v>
                </c:pt>
                <c:pt idx="2">
                  <c:v>29 River Gum Close</c:v>
                </c:pt>
                <c:pt idx="3">
                  <c:v>30 Connelly</c:v>
                </c:pt>
                <c:pt idx="4">
                  <c:v>37 Robinson Street</c:v>
                </c:pt>
                <c:pt idx="5">
                  <c:v>801 MHBR </c:v>
                </c:pt>
              </c:strCache>
            </c:strRef>
          </c:cat>
          <c:val>
            <c:numRef>
              <c:f>Deep_Dive!$D$19:$D$24</c:f>
              <c:numCache>
                <c:formatCode>_("$"* #,##0.00_);_("$"* \(#,##0.00\);_("$"* "-"??_);_(@_)</c:formatCode>
                <c:ptCount val="6"/>
                <c:pt idx="0">
                  <c:v>524363.28</c:v>
                </c:pt>
                <c:pt idx="1">
                  <c:v>923388.1</c:v>
                </c:pt>
                <c:pt idx="2">
                  <c:v>153059.6</c:v>
                </c:pt>
                <c:pt idx="3">
                  <c:v>327108.23</c:v>
                </c:pt>
                <c:pt idx="4">
                  <c:v>632848.24</c:v>
                </c:pt>
                <c:pt idx="5">
                  <c:v>9321.9699999999993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08-46F7-8014-5AB0F7C65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460015"/>
        <c:axId val="62202771"/>
      </c:barChart>
      <c:catAx>
        <c:axId val="25460015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62202771"/>
        <c:crosses val="autoZero"/>
        <c:auto val="1"/>
        <c:lblAlgn val="ctr"/>
        <c:lblOffset val="100"/>
        <c:noMultiLvlLbl val="0"/>
      </c:catAx>
      <c:valAx>
        <c:axId val="62202771"/>
        <c:scaling>
          <c:orientation val="minMax"/>
        </c:scaling>
        <c:delete val="0"/>
        <c:axPos val="l"/>
        <c:majorGridlines>
          <c:spPr>
            <a:ln w="6480">
              <a:solidFill>
                <a:srgbClr val="8B8B8B"/>
              </a:solidFill>
              <a:prstDash val="solid"/>
              <a:round/>
            </a:ln>
          </c:spPr>
        </c:majorGridlines>
        <c:numFmt formatCode="\$#,##0" sourceLinked="0"/>
        <c:majorTickMark val="out"/>
        <c:minorTickMark val="none"/>
        <c:tickLblPos val="nextTo"/>
        <c:spPr>
          <a:ln w="6480">
            <a:solidFill>
              <a:srgbClr val="8B8B8B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25460015"/>
        <c:crosses val="autoZero"/>
        <c:crossBetween val="between"/>
      </c:valAx>
    </c:plotArea>
    <c:legend>
      <c:legendPos val="b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lang="en-AU" sz="1600" b="1" strike="noStrike" spc="114">
                <a:solidFill>
                  <a:srgbClr val="595959"/>
                </a:solidFill>
                <a:latin typeface="Calibri"/>
              </a:defRPr>
            </a:pPr>
            <a:r>
              <a:rPr lang="en-AU" sz="1600" b="1" strike="noStrike" spc="114">
                <a:solidFill>
                  <a:srgbClr val="595959"/>
                </a:solidFill>
                <a:latin typeface="Calibri"/>
              </a:rPr>
              <a:t>Schedule Variance (Days) Contract vs Schedule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5.0181488203266802E-2"/>
          <c:y val="0.14789658194566199"/>
          <c:w val="0.94346642468239605"/>
          <c:h val="0.74989044697633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4472C4"/>
            </a:solidFill>
            <a:ln w="0">
              <a:noFill/>
              <a:prstDash val="solid"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 rot="-5400000" wrap="square"/>
              <a:lstStyle/>
              <a:p>
                <a:pPr>
                  <a:defRPr sz="800" b="0" strike="noStrike" spc="-1">
                    <a:solidFill>
                      <a:srgbClr val="808080"/>
                    </a:solidFill>
                    <a:latin typeface="Calibri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C9-4D06-BAC6-2F079E624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4"/>
        <c:overlap val="-90"/>
        <c:axId val="86818379"/>
        <c:axId val="95201764"/>
      </c:barChart>
      <c:catAx>
        <c:axId val="86818379"/>
        <c:scaling>
          <c:orientation val="minMax"/>
        </c:scaling>
        <c:delete val="0"/>
        <c:axPos val="b"/>
        <c:majorGridlines>
          <c:spPr>
            <a:ln w="9360">
              <a:solidFill>
                <a:srgbClr val="D9D9D9"/>
              </a:solidFill>
              <a:prstDash val="solid"/>
              <a:round/>
            </a:ln>
          </c:spPr>
        </c:majorGridlines>
        <c:numFmt formatCode="General" sourceLinked="0"/>
        <c:majorTickMark val="none"/>
        <c:minorTickMark val="none"/>
        <c:tickLblPos val="nextTo"/>
        <c:spPr>
          <a:ln w="9360">
            <a:solidFill>
              <a:srgbClr val="D9D9D9"/>
            </a:solidFill>
            <a:prstDash val="solid"/>
            <a:round/>
          </a:ln>
        </c:spPr>
        <c:txPr>
          <a:bodyPr/>
          <a:lstStyle/>
          <a:p>
            <a:pPr>
              <a:defRPr sz="800" b="0" strike="noStrike" spc="114">
                <a:solidFill>
                  <a:srgbClr val="595959"/>
                </a:solidFill>
                <a:latin typeface="Calibri"/>
              </a:defRPr>
            </a:pPr>
            <a:endParaRPr lang="en-US"/>
          </a:p>
        </c:txPr>
        <c:crossAx val="95201764"/>
        <c:crosses val="autoZero"/>
        <c:auto val="1"/>
        <c:lblAlgn val="ctr"/>
        <c:lblOffset val="100"/>
        <c:noMultiLvlLbl val="0"/>
      </c:catAx>
      <c:valAx>
        <c:axId val="9520176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6818379"/>
        <c:crosses val="autoZero"/>
        <c:crossBetween val="between"/>
      </c:valAx>
    </c:plotArea>
    <c:plotVisOnly val="1"/>
    <c:dispBlanksAs val="gap"/>
    <c:showDLblsOverMax val="0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/>
          <a:lstStyle/>
          <a:p>
            <a:pPr>
              <a:defRPr lang="en-AU" sz="1800" b="1" strike="noStrike" spc="-1">
                <a:solidFill>
                  <a:srgbClr val="404040"/>
                </a:solidFill>
                <a:latin typeface="Calibri"/>
              </a:defRPr>
            </a:pPr>
            <a:r>
              <a:rPr lang="en-AU" sz="1800" b="1" strike="noStrike" spc="-1">
                <a:solidFill>
                  <a:srgbClr val="404040"/>
                </a:solidFill>
                <a:latin typeface="Calibri"/>
              </a:rPr>
              <a:t>Difference Btw Contract Finish Date W Variations vs Scheduled Finish Date</a:t>
            </a:r>
          </a:p>
        </c:rich>
      </c:tx>
      <c:layout>
        <c:manualLayout>
          <c:xMode val="edge"/>
          <c:yMode val="edge"/>
          <c:x val="2.0805624168725102E-2"/>
          <c:y val="2.1630445872870101E-2"/>
        </c:manualLayout>
      </c:layout>
      <c:overlay val="0"/>
      <c:spPr>
        <a:noFill/>
        <a:ln w="0">
          <a:noFill/>
          <a:prstDash val="solid"/>
        </a:ln>
      </c:spPr>
    </c:title>
    <c:autoTitleDeleted val="0"/>
    <c:view3D>
      <c:rotX val="15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6.9779593387801597E-2"/>
          <c:y val="0.18906234057749199"/>
          <c:w val="0.82139464183925504"/>
          <c:h val="0.62003877155392295"/>
        </c:manualLayout>
      </c:layout>
      <c:pie3DChart>
        <c:varyColors val="1"/>
        <c:ser>
          <c:idx val="0"/>
          <c:order val="0"/>
          <c:tx>
            <c:strRef>
              <c:f>Deep_Dive!$G$7</c:f>
              <c:strCache>
                <c:ptCount val="1"/>
                <c:pt idx="0">
                  <c:v>Diff btw Variations Finish &amp; Current Schedule Finish</c:v>
                </c:pt>
              </c:strCache>
            </c:strRef>
          </c:tx>
          <c:spPr>
            <a:solidFill>
              <a:srgbClr val="4472C4"/>
            </a:solidFill>
            <a:ln w="0">
              <a:noFill/>
              <a:prstDash val="solid"/>
            </a:ln>
          </c:spPr>
          <c:dPt>
            <c:idx val="0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EA14-4320-BB86-0B186AA79F28}"/>
              </c:ext>
            </c:extLst>
          </c:dPt>
          <c:dPt>
            <c:idx val="1"/>
            <c:bubble3D val="0"/>
            <c:spPr>
              <a:solidFill>
                <a:srgbClr val="ED7D31"/>
              </a:solidFill>
              <a:ln w="0"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EA14-4320-BB86-0B186AA79F28}"/>
              </c:ext>
            </c:extLst>
          </c:dPt>
          <c:dPt>
            <c:idx val="2"/>
            <c:bubble3D val="0"/>
            <c:spPr>
              <a:solidFill>
                <a:srgbClr val="A5A5A5"/>
              </a:solidFill>
              <a:ln w="0"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EA14-4320-BB86-0B186AA79F28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0"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7-EA14-4320-BB86-0B186AA79F28}"/>
              </c:ext>
            </c:extLst>
          </c:dPt>
          <c:dPt>
            <c:idx val="4"/>
            <c:bubble3D val="0"/>
            <c:spPr>
              <a:solidFill>
                <a:srgbClr val="5B9BD5"/>
              </a:solidFill>
              <a:ln w="0"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9-EA14-4320-BB86-0B186AA79F28}"/>
              </c:ext>
            </c:extLst>
          </c:dPt>
          <c:dPt>
            <c:idx val="5"/>
            <c:bubble3D val="0"/>
            <c:spPr>
              <a:solidFill>
                <a:srgbClr val="70AD47"/>
              </a:solidFill>
              <a:ln w="0"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B-EA14-4320-BB86-0B186AA79F28}"/>
              </c:ext>
            </c:extLst>
          </c:dPt>
          <c:dLbls>
            <c:spPr>
              <a:solidFill>
                <a:srgbClr val="FFFFFF"/>
              </a:solidFill>
              <a:ln>
                <a:prstDash val="solid"/>
              </a:ln>
            </c:spPr>
            <c:txPr>
              <a:bodyPr wrap="square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Deep_Dive!$A$8:$A$13</c:f>
              <c:strCache>
                <c:ptCount val="6"/>
                <c:pt idx="0">
                  <c:v>11-15 Station St</c:v>
                </c:pt>
                <c:pt idx="1">
                  <c:v>17 Glydon Ave</c:v>
                </c:pt>
                <c:pt idx="2">
                  <c:v>29 River Gum Close</c:v>
                </c:pt>
                <c:pt idx="3">
                  <c:v>30 Connelly</c:v>
                </c:pt>
                <c:pt idx="4">
                  <c:v>37 Robinson Street</c:v>
                </c:pt>
                <c:pt idx="5">
                  <c:v>801 MHBR </c:v>
                </c:pt>
              </c:strCache>
            </c:strRef>
          </c:cat>
          <c:val>
            <c:numRef>
              <c:f>Deep_Dive!$G$8:$G$13</c:f>
              <c:numCache>
                <c:formatCode>0</c:formatCode>
                <c:ptCount val="6"/>
                <c:pt idx="0">
                  <c:v>-56</c:v>
                </c:pt>
                <c:pt idx="1">
                  <c:v>1</c:v>
                </c:pt>
                <c:pt idx="2">
                  <c:v>35</c:v>
                </c:pt>
                <c:pt idx="3">
                  <c:v>15</c:v>
                </c:pt>
                <c:pt idx="4">
                  <c:v>-43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A14-4320-BB86-0B186AA79F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</c:plotArea>
    <c:legend>
      <c:legendPos val="r"/>
      <c:layout>
        <c:manualLayout>
          <c:xMode val="edge"/>
          <c:yMode val="edge"/>
          <c:x val="0.81100144534355501"/>
          <c:y val="0.20641273819432099"/>
          <c:w val="0.178913839075203"/>
          <c:h val="0.73464239431714395"/>
        </c:manualLayout>
      </c:layout>
      <c:overlay val="1"/>
      <c:spPr>
        <a:solidFill>
          <a:srgbClr val="F2F2F2"/>
        </a:solidFill>
        <a:ln w="0">
          <a:noFill/>
          <a:prstDash val="solid"/>
        </a:ln>
      </c:spPr>
      <c:txPr>
        <a:bodyPr/>
        <a:lstStyle/>
        <a:p>
          <a:pPr>
            <a:defRPr sz="900" b="0" strike="noStrike" spc="-1">
              <a:solidFill>
                <a:srgbClr val="404040"/>
              </a:solidFill>
              <a:latin typeface="Calibri"/>
            </a:defRPr>
          </a:pPr>
          <a:endParaRPr lang="en-US"/>
        </a:p>
      </c:txPr>
    </c:legend>
    <c:plotVisOnly val="0"/>
    <c:dispBlanksAs val="gap"/>
    <c:showDLblsOverMax val="0"/>
  </c:chart>
  <c:spPr>
    <a:gradFill>
      <a:gsLst>
        <a:gs pos="0">
          <a:srgbClr val="FFFFFF"/>
        </a:gs>
        <a:gs pos="39000">
          <a:srgbClr val="FFFFFF"/>
        </a:gs>
        <a:gs pos="100000">
          <a:srgbClr val="BFBFBF"/>
        </a:gs>
      </a:gsLst>
      <a:path path="circle">
        <a:fillToRect l="50000" r="50000" b="100000"/>
      </a:path>
    </a:gradFill>
    <a:ln w="9360">
      <a:solidFill>
        <a:srgbClr val="BFBFBF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9390</xdr:colOff>
      <xdr:row>2</xdr:row>
      <xdr:rowOff>57300</xdr:rowOff>
    </xdr:from>
    <xdr:to>
      <xdr:col>12</xdr:col>
      <xdr:colOff>1238430</xdr:colOff>
      <xdr:row>11</xdr:row>
      <xdr:rowOff>18645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125315" y="304950"/>
          <a:ext cx="4200840" cy="2037795"/>
        </a:xfrm>
        <a:prstGeom prst="rect">
          <a:avLst/>
        </a:prstGeom>
        <a:ln w="0">
          <a:noFill/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380520</xdr:colOff>
      <xdr:row>0</xdr:row>
      <xdr:rowOff>142920</xdr:rowOff>
    </xdr:from>
    <xdr:to>
      <xdr:col>16</xdr:col>
      <xdr:colOff>367200</xdr:colOff>
      <xdr:row>17</xdr:row>
      <xdr:rowOff>36360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</xdr:col>
      <xdr:colOff>11520</xdr:colOff>
      <xdr:row>37</xdr:row>
      <xdr:rowOff>173520</xdr:rowOff>
    </xdr:from>
    <xdr:to>
      <xdr:col>16</xdr:col>
      <xdr:colOff>607680</xdr:colOff>
      <xdr:row>55</xdr:row>
      <xdr:rowOff>30240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326160</xdr:colOff>
      <xdr:row>18</xdr:row>
      <xdr:rowOff>23400</xdr:rowOff>
    </xdr:from>
    <xdr:to>
      <xdr:col>22</xdr:col>
      <xdr:colOff>566280</xdr:colOff>
      <xdr:row>36</xdr:row>
      <xdr:rowOff>122400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4" displayName="Table4" ref="A4:O11" totalsRowCount="1" headerRowDxfId="127" dataDxfId="125" totalsRowDxfId="123" headerRowBorderDxfId="126" tableBorderDxfId="124" totalsRowBorderDxfId="122">
  <autoFilter ref="A4:O10" xr:uid="{00000000-0009-0000-0100-00000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00000000-0010-0000-0000-000001000000}" name="Project" dataDxfId="121" totalsRowDxfId="120"/>
    <tableColumn id="2" xr3:uid="{00000000-0010-0000-0000-000002000000}" name="Phase" dataDxfId="119" totalsRowDxfId="118"/>
    <tableColumn id="3" xr3:uid="{00000000-0010-0000-0000-000003000000}" name="Schedule Status" dataDxfId="117" totalsRowDxfId="116"/>
    <tableColumn id="4" xr3:uid="{00000000-0010-0000-0000-000004000000}" name="Contract Finish" dataDxfId="115" totalsRowDxfId="114"/>
    <tableColumn id="5" xr3:uid="{00000000-0010-0000-0000-000005000000}" name="Forecast Finish" dataDxfId="113" totalsRowDxfId="112"/>
    <tableColumn id="6" xr3:uid="{00000000-0010-0000-0000-000006000000}" name="Baseline Slip (days)" dataDxfId="111" totalsRowDxfId="110"/>
    <tableColumn id="7" xr3:uid="{00000000-0010-0000-0000-000007000000}" name="Variartion (Days)" dataDxfId="109" totalsRowDxfId="108"/>
    <tableColumn id="8" xr3:uid="{00000000-0010-0000-0000-000008000000}" name="Budget Status" dataDxfId="107" totalsRowDxfId="106"/>
    <tableColumn id="9" xr3:uid="{00000000-0010-0000-0000-000009000000}" name="Projected Cost" dataDxfId="105" totalsRowDxfId="104"/>
    <tableColumn id="10" xr3:uid="{00000000-0010-0000-0000-00000A000000}" name="Schedule Variance ($SV)" totalsRowLabel="Avg Margin" dataDxfId="103" totalsRowDxfId="102"/>
    <tableColumn id="11" xr3:uid="{00000000-0010-0000-0000-00000B000000}" name="Projected Margin" totalsRowFunction="custom" dataDxfId="101" totalsRowDxfId="100" totalsRowCellStyle="Percent">
      <totalsRowFormula>AVERAGE(K5:K9)</totalsRowFormula>
    </tableColumn>
    <tableColumn id="12" xr3:uid="{00000000-0010-0000-0000-00000C000000}" name="Weekly Burn Rate" dataDxfId="99" totalsRowDxfId="98"/>
    <tableColumn id="13" xr3:uid="{00000000-0010-0000-0000-00000D000000}" name="Cashflow Lookahead (7Days)" dataDxfId="97" totalsRowDxfId="96"/>
    <tableColumn id="16" xr3:uid="{00000000-0010-0000-0000-000010000000}" name="Cashflow Lookahead (30Days)" dataDxfId="95" totalsRowDxfId="94"/>
    <tableColumn id="15" xr3:uid="{00000000-0010-0000-0000-00000F000000}" name="Days to PC" dataDxfId="93" totalsRowDxfId="9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" displayName="Table3" ref="A7:I14" totalsRowShown="0" headerRowDxfId="91" headerRowBorderDxfId="90">
  <autoFilter ref="A7:I14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00000000-0010-0000-0100-000001000000}" name="Project Address"/>
    <tableColumn id="2" xr3:uid="{00000000-0010-0000-0100-000002000000}" name="Projected Finish"/>
    <tableColumn id="3" xr3:uid="{00000000-0010-0000-0100-000003000000}" name="Signed Contract Finish Date"/>
    <tableColumn id="4" xr3:uid="{00000000-0010-0000-0100-000004000000}" name="Diff btw Contract Finish &amp; Current Schedule Finsh  (WD)"/>
    <tableColumn id="5" xr3:uid="{00000000-0010-0000-0100-000005000000}" name="Approved Variation Days"/>
    <tableColumn id="6" xr3:uid="{00000000-0010-0000-0100-000006000000}" name="New Finish Date With Variations"/>
    <tableColumn id="7" xr3:uid="{00000000-0010-0000-0100-000007000000}" name="Diff btw Variations Finish &amp; Current Schedule Finish"/>
    <tableColumn id="8" xr3:uid="{00000000-0010-0000-0100-000008000000}" name="PHASE of CONSTRUCTION"/>
    <tableColumn id="9" xr3:uid="{00000000-0010-0000-0100-000009000000}" name="Burnrate (WKLY)" totalsRowFunction="sum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5" displayName="Table5" ref="A18:I25" totalsRowShown="0">
  <autoFilter ref="A18:I25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</autoFilter>
  <tableColumns count="9">
    <tableColumn id="1" xr3:uid="{00000000-0010-0000-0200-000001000000}" name="Project Address"/>
    <tableColumn id="2" xr3:uid="{00000000-0010-0000-0200-000002000000}" name="Original Estimate" dataCellStyle="Currency"/>
    <tableColumn id="3" xr3:uid="{00000000-0010-0000-0200-000003000000}" name="Revised Budget" dataCellStyle="Currency"/>
    <tableColumn id="4" xr3:uid="{00000000-0010-0000-0200-000004000000}" name="Projected Cost" dataCellStyle="Currency"/>
    <tableColumn id="5" xr3:uid="{00000000-0010-0000-0200-000005000000}" name="Projected Costs higher than Revised Estimate"/>
    <tableColumn id="6" xr3:uid="{00000000-0010-0000-0200-000006000000}" name="Projected Profit " dataCellStyle="Currency"/>
    <tableColumn id="7" xr3:uid="{00000000-0010-0000-0200-000007000000}" name="Projected Margin"/>
    <tableColumn id="8" xr3:uid="{00000000-0010-0000-0200-000008000000}" name="Starting Margin"/>
    <tableColumn id="9" xr3:uid="{00000000-0010-0000-0200-000009000000}" name="Goal Margin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32" displayName="Table32" ref="A2:E14" totalsRowShown="0" headerRowDxfId="89" dataDxfId="88">
  <autoFilter ref="A2:E14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300-000001000000}" name="Project Address" dataDxfId="87"/>
    <tableColumn id="2" xr3:uid="{00000000-0010-0000-0300-000002000000}" name="Start Date" dataDxfId="86"/>
    <tableColumn id="3" xr3:uid="{00000000-0010-0000-0300-000003000000}" name="Signed Contract Finish Date" dataDxfId="85"/>
    <tableColumn id="4" xr3:uid="{00000000-0010-0000-0300-000004000000}" name="Date of Completion" dataDxfId="84"/>
    <tableColumn id="5" xr3:uid="{00000000-0010-0000-0300-000005000000}" name="Project Completed in (days)" dataDxfId="83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53" displayName="Table53" ref="A17:F31" totalsRowShown="0" headerRowDxfId="82">
  <autoFilter ref="A17:F31" xr:uid="{00000000-0009-0000-0100-000005000000}">
    <filterColumn colId="0" hiddenButton="1">
      <filters>
        <filter val="104/108 Lygon Street"/>
        <filter val="11-15 Station St"/>
        <filter val="13 Glydon Ave"/>
        <filter val="17 Glydon Ave"/>
        <filter val="29 River Gum Close"/>
        <filter val="30 Connelly"/>
        <filter val="49 Kamarooka Drive "/>
      </filters>
    </filterColumn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0000000-0010-0000-0400-000001000000}" name="Project Address"/>
    <tableColumn id="2" xr3:uid="{00000000-0010-0000-0400-000002000000}" name="Original Estimate (Builders cost)"/>
    <tableColumn id="3" xr3:uid="{00000000-0010-0000-0400-000003000000}" name="Revised client price"/>
    <tableColumn id="4" xr3:uid="{00000000-0010-0000-0400-000004000000}" name="Project Cost"/>
    <tableColumn id="5" xr3:uid="{00000000-0010-0000-0400-000005000000}" name="Final Profit ($$)"/>
    <tableColumn id="6" xr3:uid="{00000000-0010-0000-0400-000006000000}" name="Final Profit Margin (%)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8" displayName="Table8" ref="A2:I9" totalsRowShown="0">
  <autoFilter ref="A2:I9" xr:uid="{00000000-0009-0000-0100-000006000000}"/>
  <tableColumns count="9">
    <tableColumn id="1" xr3:uid="{00000000-0010-0000-0500-000001000000}" name="Project Address"/>
    <tableColumn id="2" xr3:uid="{00000000-0010-0000-0500-000002000000}" name="Current Schedule Finish Date"/>
    <tableColumn id="3" xr3:uid="{00000000-0010-0000-0500-000003000000}" name="Signed Contract Finish Date"/>
    <tableColumn id="4" xr3:uid="{00000000-0010-0000-0500-000004000000}" name="Diff btw Contract Finish to Current Schedule Finsh  (WD)"/>
    <tableColumn id="5" xr3:uid="{00000000-0010-0000-0500-000005000000}" name="Approved Variation Days"/>
    <tableColumn id="6" xr3:uid="{00000000-0010-0000-0500-000006000000}" name="New Finish Date With Variations"/>
    <tableColumn id="7" xr3:uid="{00000000-0010-0000-0500-000007000000}" name="Diff btw Variations Finish to Current Schedule Finish  (WD)"/>
    <tableColumn id="8" xr3:uid="{00000000-0010-0000-0500-000008000000}" name="PHASE of CONSTRUCTION"/>
    <tableColumn id="9" xr3:uid="{00000000-0010-0000-0500-000009000000}" name="Burnrate saved/burnt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6" displayName="Table6" ref="A2:I10" totalsRowShown="0">
  <autoFilter ref="A2:I10" xr:uid="{00000000-0009-0000-0100-000007000000}"/>
  <tableColumns count="9">
    <tableColumn id="1" xr3:uid="{00000000-0010-0000-0600-000001000000}" name="Project Address"/>
    <tableColumn id="2" xr3:uid="{00000000-0010-0000-0600-000002000000}" name="Original Estimate "/>
    <tableColumn id="3" xr3:uid="{00000000-0010-0000-0600-000003000000}" name="Revised Estimate "/>
    <tableColumn id="4" xr3:uid="{00000000-0010-0000-0600-000004000000}" name="Projected Cost "/>
    <tableColumn id="5" xr3:uid="{00000000-0010-0000-0600-000005000000}" name="Projected Profit "/>
    <tableColumn id="6" xr3:uid="{00000000-0010-0000-0600-000006000000}" name="Projected Margin"/>
    <tableColumn id="7" xr3:uid="{00000000-0010-0000-0600-000007000000}" name="Starting Margin"/>
    <tableColumn id="8" xr3:uid="{00000000-0010-0000-0600-000008000000}" name="Goal Margin"/>
    <tableColumn id="9" xr3:uid="{00000000-0010-0000-0600-000009000000}" name="Daily Burn Rate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</a:majorFont>
      <a:minorFont>
        <a:latin typeface="Calibri" panose="020F050202020403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C8BD25-D514-4241-8280-83D9DACC863D}">
  <dimension ref="A1:M21"/>
  <sheetViews>
    <sheetView workbookViewId="0"/>
  </sheetViews>
  <sheetFormatPr defaultRowHeight="15" x14ac:dyDescent="0.25"/>
  <sheetData>
    <row r="1" spans="1:13" x14ac:dyDescent="0.25">
      <c r="A1" t="s">
        <v>63</v>
      </c>
      <c r="B1" t="s">
        <v>64</v>
      </c>
      <c r="C1" t="s">
        <v>65</v>
      </c>
      <c r="D1" t="s">
        <v>66</v>
      </c>
      <c r="E1" t="s">
        <v>67</v>
      </c>
      <c r="F1" t="s">
        <v>68</v>
      </c>
      <c r="G1" t="s">
        <v>69</v>
      </c>
      <c r="H1" t="s">
        <v>70</v>
      </c>
      <c r="I1" t="s">
        <v>71</v>
      </c>
      <c r="J1" t="s">
        <v>72</v>
      </c>
      <c r="K1" t="s">
        <v>73</v>
      </c>
      <c r="L1" t="s">
        <v>74</v>
      </c>
      <c r="M1" t="s">
        <v>75</v>
      </c>
    </row>
    <row r="2" spans="1:13" x14ac:dyDescent="0.25">
      <c r="A2" t="s">
        <v>76</v>
      </c>
      <c r="B2">
        <v>21400</v>
      </c>
      <c r="C2">
        <v>13482.23</v>
      </c>
      <c r="D2">
        <v>1798.08</v>
      </c>
      <c r="E2">
        <v>1070</v>
      </c>
      <c r="F2">
        <v>13</v>
      </c>
      <c r="G2">
        <v>7917.77</v>
      </c>
      <c r="H2">
        <v>37</v>
      </c>
      <c r="I2">
        <v>2854.05</v>
      </c>
      <c r="J2">
        <v>-1784.05</v>
      </c>
      <c r="K2">
        <v>-8.34</v>
      </c>
      <c r="L2">
        <v>1055.97</v>
      </c>
      <c r="M2" s="171">
        <v>46140.19127314815</v>
      </c>
    </row>
    <row r="3" spans="1:13" x14ac:dyDescent="0.25">
      <c r="A3" t="s">
        <v>77</v>
      </c>
      <c r="B3">
        <v>182074.94</v>
      </c>
      <c r="C3">
        <v>182458.65</v>
      </c>
      <c r="D3">
        <v>130957.99</v>
      </c>
      <c r="E3">
        <v>183073.27</v>
      </c>
      <c r="F3">
        <v>72</v>
      </c>
      <c r="G3">
        <v>-383.71</v>
      </c>
      <c r="H3">
        <v>-0.21</v>
      </c>
      <c r="I3">
        <v>130682.59</v>
      </c>
      <c r="J3">
        <v>52390.68</v>
      </c>
      <c r="K3">
        <v>28.77</v>
      </c>
      <c r="L3">
        <v>-275.39999999999998</v>
      </c>
      <c r="M3" s="171">
        <v>46140.19127314815</v>
      </c>
    </row>
    <row r="4" spans="1:13" x14ac:dyDescent="0.25">
      <c r="A4" t="s">
        <v>78</v>
      </c>
      <c r="B4">
        <v>694797.04</v>
      </c>
      <c r="C4">
        <v>524363.28</v>
      </c>
      <c r="D4">
        <v>393549.27</v>
      </c>
      <c r="E4">
        <v>466419.86</v>
      </c>
      <c r="F4">
        <v>75</v>
      </c>
      <c r="G4">
        <v>170433.76</v>
      </c>
      <c r="H4">
        <v>24.53</v>
      </c>
      <c r="I4">
        <v>521464.56</v>
      </c>
      <c r="J4">
        <v>-55044.7</v>
      </c>
      <c r="K4">
        <v>-7.92</v>
      </c>
      <c r="L4">
        <v>127915.29</v>
      </c>
      <c r="M4" s="171">
        <v>46140.19127314815</v>
      </c>
    </row>
    <row r="5" spans="1:13" x14ac:dyDescent="0.25">
      <c r="A5" t="s">
        <v>79</v>
      </c>
      <c r="B5">
        <v>16896.650000000001</v>
      </c>
      <c r="C5">
        <v>11991.01</v>
      </c>
      <c r="D5">
        <v>9375.01</v>
      </c>
      <c r="E5">
        <v>16896.650000000001</v>
      </c>
      <c r="F5">
        <v>78</v>
      </c>
      <c r="G5">
        <v>4905.6400000000003</v>
      </c>
      <c r="H5">
        <v>29.03</v>
      </c>
      <c r="I5">
        <v>13210.42</v>
      </c>
      <c r="J5">
        <v>3686.23</v>
      </c>
      <c r="K5">
        <v>21.82</v>
      </c>
      <c r="L5">
        <v>3835.41</v>
      </c>
      <c r="M5" s="171">
        <v>46140.191284722219</v>
      </c>
    </row>
    <row r="6" spans="1:13" x14ac:dyDescent="0.25">
      <c r="A6" t="s">
        <v>80</v>
      </c>
      <c r="B6">
        <v>1447941.6</v>
      </c>
      <c r="C6">
        <v>1499050.36</v>
      </c>
      <c r="D6">
        <v>1499050.36</v>
      </c>
      <c r="E6">
        <v>2040723.13</v>
      </c>
      <c r="F6">
        <v>100</v>
      </c>
      <c r="G6">
        <v>-51108.76</v>
      </c>
      <c r="H6">
        <v>-3.53</v>
      </c>
      <c r="I6">
        <v>1447941.6</v>
      </c>
      <c r="J6">
        <v>592781.53</v>
      </c>
      <c r="K6">
        <v>40.94</v>
      </c>
      <c r="L6">
        <v>-51108.76</v>
      </c>
      <c r="M6" s="171">
        <v>46140.191284722219</v>
      </c>
    </row>
    <row r="7" spans="1:13" x14ac:dyDescent="0.25">
      <c r="A7" t="s">
        <v>81</v>
      </c>
      <c r="B7">
        <v>1232405.3799999999</v>
      </c>
      <c r="C7">
        <v>923388.1</v>
      </c>
      <c r="D7">
        <v>412498.44</v>
      </c>
      <c r="E7">
        <v>476407.21</v>
      </c>
      <c r="F7">
        <v>45</v>
      </c>
      <c r="G7">
        <v>309017.28000000003</v>
      </c>
      <c r="H7">
        <v>25.07</v>
      </c>
      <c r="I7">
        <v>550543.48</v>
      </c>
      <c r="J7">
        <v>-74136.27</v>
      </c>
      <c r="K7">
        <v>-6.02</v>
      </c>
      <c r="L7">
        <v>138045.04</v>
      </c>
      <c r="M7" s="171">
        <v>46140.191284722219</v>
      </c>
    </row>
    <row r="8" spans="1:13" x14ac:dyDescent="0.25">
      <c r="A8" t="s">
        <v>82</v>
      </c>
      <c r="B8">
        <v>55249.1</v>
      </c>
      <c r="C8">
        <v>40477.46</v>
      </c>
      <c r="D8">
        <v>21738.46</v>
      </c>
      <c r="E8">
        <v>25656.26</v>
      </c>
      <c r="F8">
        <v>54</v>
      </c>
      <c r="G8">
        <v>14771.64</v>
      </c>
      <c r="H8">
        <v>26.74</v>
      </c>
      <c r="I8">
        <v>29671.58</v>
      </c>
      <c r="J8">
        <v>-4015.32</v>
      </c>
      <c r="K8">
        <v>-7.27</v>
      </c>
      <c r="L8">
        <v>7933.12</v>
      </c>
      <c r="M8" s="171">
        <v>46140.191284722219</v>
      </c>
    </row>
    <row r="9" spans="1:13" x14ac:dyDescent="0.25">
      <c r="A9" t="s">
        <v>83</v>
      </c>
      <c r="B9">
        <v>305495.5</v>
      </c>
      <c r="C9">
        <v>153059.6</v>
      </c>
      <c r="D9">
        <v>133859.6</v>
      </c>
      <c r="E9">
        <v>292853.14</v>
      </c>
      <c r="F9">
        <v>87</v>
      </c>
      <c r="G9">
        <v>152435.9</v>
      </c>
      <c r="H9">
        <v>49.9</v>
      </c>
      <c r="I9">
        <v>267173.74</v>
      </c>
      <c r="J9">
        <v>25679.4</v>
      </c>
      <c r="K9">
        <v>8.41</v>
      </c>
      <c r="L9">
        <v>133314.14000000001</v>
      </c>
      <c r="M9" s="171">
        <v>46140.191284722219</v>
      </c>
    </row>
    <row r="10" spans="1:13" x14ac:dyDescent="0.25">
      <c r="A10" t="s">
        <v>84</v>
      </c>
      <c r="B10">
        <v>73658.2</v>
      </c>
      <c r="C10">
        <v>37957.040000000001</v>
      </c>
      <c r="D10">
        <v>36530.35</v>
      </c>
      <c r="E10">
        <v>60394.67</v>
      </c>
      <c r="F10">
        <v>96</v>
      </c>
      <c r="G10">
        <v>35701.160000000003</v>
      </c>
      <c r="H10">
        <v>48.47</v>
      </c>
      <c r="I10">
        <v>70889.61</v>
      </c>
      <c r="J10">
        <v>-10494.94</v>
      </c>
      <c r="K10">
        <v>-14.25</v>
      </c>
      <c r="L10">
        <v>34359.26</v>
      </c>
      <c r="M10" s="171">
        <v>46140.191284722219</v>
      </c>
    </row>
    <row r="11" spans="1:13" x14ac:dyDescent="0.25">
      <c r="A11" t="s">
        <v>85</v>
      </c>
      <c r="B11">
        <v>443105.76</v>
      </c>
      <c r="C11">
        <v>327108.23</v>
      </c>
      <c r="D11">
        <v>129831.13</v>
      </c>
      <c r="E11">
        <v>113780.94</v>
      </c>
      <c r="F11">
        <v>40</v>
      </c>
      <c r="G11">
        <v>115997.53</v>
      </c>
      <c r="H11">
        <v>26.18</v>
      </c>
      <c r="I11">
        <v>175871.21</v>
      </c>
      <c r="J11">
        <v>-62090.27</v>
      </c>
      <c r="K11">
        <v>-14.01</v>
      </c>
      <c r="L11">
        <v>46040.08</v>
      </c>
      <c r="M11" s="171">
        <v>46140.191284722219</v>
      </c>
    </row>
    <row r="12" spans="1:13" x14ac:dyDescent="0.25">
      <c r="A12" t="s">
        <v>86</v>
      </c>
      <c r="B12">
        <v>6305</v>
      </c>
      <c r="C12">
        <v>6010.03</v>
      </c>
      <c r="D12">
        <v>2060.0300000000002</v>
      </c>
      <c r="E12">
        <v>2662.5</v>
      </c>
      <c r="F12">
        <v>34</v>
      </c>
      <c r="G12">
        <v>294.97000000000003</v>
      </c>
      <c r="H12">
        <v>4.68</v>
      </c>
      <c r="I12">
        <v>2161.14</v>
      </c>
      <c r="J12">
        <v>501.36</v>
      </c>
      <c r="K12">
        <v>7.95</v>
      </c>
      <c r="L12">
        <v>101.11</v>
      </c>
      <c r="M12" s="171">
        <v>46140.191284722219</v>
      </c>
    </row>
    <row r="13" spans="1:13" x14ac:dyDescent="0.25">
      <c r="A13" t="s">
        <v>87</v>
      </c>
      <c r="B13">
        <v>792500.99</v>
      </c>
      <c r="C13">
        <v>632848.24</v>
      </c>
      <c r="D13">
        <v>632848.24</v>
      </c>
      <c r="E13">
        <v>783731.29</v>
      </c>
      <c r="F13">
        <v>100</v>
      </c>
      <c r="G13">
        <v>159652.75</v>
      </c>
      <c r="H13">
        <v>20.149999999999999</v>
      </c>
      <c r="I13">
        <v>792500.99</v>
      </c>
      <c r="J13">
        <v>-8769.7000000000007</v>
      </c>
      <c r="K13">
        <v>-1.1100000000000001</v>
      </c>
      <c r="L13">
        <v>159652.75</v>
      </c>
      <c r="M13" s="171">
        <v>46140.191284722219</v>
      </c>
    </row>
    <row r="14" spans="1:13" x14ac:dyDescent="0.25">
      <c r="A14" t="s">
        <v>88</v>
      </c>
      <c r="B14">
        <v>8069.5</v>
      </c>
      <c r="C14">
        <v>11072.78</v>
      </c>
      <c r="D14">
        <v>9072.7800000000007</v>
      </c>
      <c r="E14">
        <v>11249.14</v>
      </c>
      <c r="F14">
        <v>82</v>
      </c>
      <c r="G14">
        <v>-3003.28</v>
      </c>
      <c r="H14">
        <v>-37.22</v>
      </c>
      <c r="I14">
        <v>6611.96</v>
      </c>
      <c r="J14">
        <v>4637.18</v>
      </c>
      <c r="K14">
        <v>57.47</v>
      </c>
      <c r="L14">
        <v>-2460.8200000000002</v>
      </c>
      <c r="M14" s="171">
        <v>46140.191284722219</v>
      </c>
    </row>
    <row r="15" spans="1:13" x14ac:dyDescent="0.25">
      <c r="A15" t="s">
        <v>89</v>
      </c>
      <c r="B15">
        <v>24536.14</v>
      </c>
      <c r="C15">
        <v>9321.9699999999993</v>
      </c>
      <c r="D15">
        <v>9321.9699999999993</v>
      </c>
      <c r="E15">
        <v>24536.14</v>
      </c>
      <c r="F15">
        <v>100</v>
      </c>
      <c r="G15">
        <v>15214.17</v>
      </c>
      <c r="H15">
        <v>62.01</v>
      </c>
      <c r="I15">
        <v>24536.14</v>
      </c>
      <c r="J15">
        <v>0</v>
      </c>
      <c r="K15">
        <v>0</v>
      </c>
      <c r="L15">
        <v>15214.17</v>
      </c>
      <c r="M15" s="171">
        <v>46140.191284722219</v>
      </c>
    </row>
    <row r="16" spans="1:13" x14ac:dyDescent="0.25">
      <c r="A16" t="s">
        <v>90</v>
      </c>
      <c r="B16">
        <v>341995.49</v>
      </c>
      <c r="C16">
        <v>221471.59</v>
      </c>
      <c r="D16">
        <v>231151.59</v>
      </c>
      <c r="E16">
        <v>341995.49</v>
      </c>
      <c r="F16">
        <v>104</v>
      </c>
      <c r="G16">
        <v>120523.9</v>
      </c>
      <c r="H16">
        <v>35.24</v>
      </c>
      <c r="I16">
        <v>356943.3</v>
      </c>
      <c r="J16">
        <v>-14947.81</v>
      </c>
      <c r="K16">
        <v>-4.37</v>
      </c>
      <c r="L16">
        <v>125791.71</v>
      </c>
      <c r="M16" s="171">
        <v>46140.191284722219</v>
      </c>
    </row>
    <row r="17" spans="1:13" x14ac:dyDescent="0.25">
      <c r="A17" t="s">
        <v>91</v>
      </c>
      <c r="B17">
        <v>1257811.01</v>
      </c>
      <c r="C17">
        <v>1109180.81</v>
      </c>
      <c r="D17">
        <v>1100584.1499999999</v>
      </c>
      <c r="E17">
        <v>1258811.51</v>
      </c>
      <c r="F17">
        <v>99</v>
      </c>
      <c r="G17">
        <v>148630.20000000001</v>
      </c>
      <c r="H17">
        <v>11.82</v>
      </c>
      <c r="I17">
        <v>1248062.3999999999</v>
      </c>
      <c r="J17">
        <v>10749.11</v>
      </c>
      <c r="K17">
        <v>0.85</v>
      </c>
      <c r="L17">
        <v>147478.25</v>
      </c>
      <c r="M17" s="171">
        <v>46140.191284722219</v>
      </c>
    </row>
    <row r="18" spans="1:13" x14ac:dyDescent="0.25">
      <c r="A18" t="s">
        <v>92</v>
      </c>
      <c r="B18">
        <v>599976.25</v>
      </c>
      <c r="C18">
        <v>534837.05000000005</v>
      </c>
      <c r="D18">
        <v>534837.05000000005</v>
      </c>
      <c r="E18">
        <v>598775.66</v>
      </c>
      <c r="F18">
        <v>100</v>
      </c>
      <c r="G18">
        <v>65139.199999999997</v>
      </c>
      <c r="H18">
        <v>10.86</v>
      </c>
      <c r="I18">
        <v>599976.25</v>
      </c>
      <c r="J18">
        <v>-1200.5899999999999</v>
      </c>
      <c r="K18">
        <v>-0.2</v>
      </c>
      <c r="L18">
        <v>65139.199999999997</v>
      </c>
      <c r="M18" s="171">
        <v>46140.191296296296</v>
      </c>
    </row>
    <row r="19" spans="1:13" x14ac:dyDescent="0.25">
      <c r="A19" t="s">
        <v>93</v>
      </c>
      <c r="B19">
        <v>4000</v>
      </c>
      <c r="C19">
        <v>4281.82</v>
      </c>
      <c r="D19">
        <v>2640</v>
      </c>
      <c r="E19">
        <v>4000</v>
      </c>
      <c r="F19">
        <v>62</v>
      </c>
      <c r="G19">
        <v>-281.82</v>
      </c>
      <c r="H19">
        <v>-7.05</v>
      </c>
      <c r="I19">
        <v>2466.2399999999998</v>
      </c>
      <c r="J19">
        <v>1533.76</v>
      </c>
      <c r="K19">
        <v>38.340000000000003</v>
      </c>
      <c r="L19">
        <v>-173.76</v>
      </c>
      <c r="M19" s="171">
        <v>46140.191296296296</v>
      </c>
    </row>
    <row r="20" spans="1:13" x14ac:dyDescent="0.25">
      <c r="A20" t="s">
        <v>94</v>
      </c>
      <c r="B20">
        <v>189731.88</v>
      </c>
      <c r="C20">
        <v>135488.07999999999</v>
      </c>
      <c r="D20">
        <v>25.03</v>
      </c>
      <c r="E20">
        <v>65535</v>
      </c>
      <c r="F20">
        <v>0</v>
      </c>
      <c r="G20">
        <v>54243.8</v>
      </c>
      <c r="H20">
        <v>28.59</v>
      </c>
      <c r="I20">
        <v>35.049999999999997</v>
      </c>
      <c r="J20">
        <v>-35.049999999999997</v>
      </c>
      <c r="K20">
        <v>-0.02</v>
      </c>
      <c r="L20">
        <v>10.02</v>
      </c>
      <c r="M20" s="171">
        <v>46140.191296296296</v>
      </c>
    </row>
    <row r="21" spans="1:13" x14ac:dyDescent="0.25">
      <c r="A21" t="s">
        <v>95</v>
      </c>
      <c r="B21">
        <v>520166.74</v>
      </c>
      <c r="C21">
        <v>413134.29</v>
      </c>
      <c r="D21">
        <v>411746.29</v>
      </c>
      <c r="E21">
        <v>503940.44</v>
      </c>
      <c r="F21">
        <v>100</v>
      </c>
      <c r="G21">
        <v>107032.45</v>
      </c>
      <c r="H21">
        <v>20.58</v>
      </c>
      <c r="I21">
        <v>518419.14</v>
      </c>
      <c r="J21">
        <v>-14478.7</v>
      </c>
      <c r="K21">
        <v>-2.78</v>
      </c>
      <c r="L21">
        <v>106672.85</v>
      </c>
      <c r="M21" s="171">
        <v>46140.191296296296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P80"/>
  <sheetViews>
    <sheetView tabSelected="1" topLeftCell="A18" zoomScaleNormal="100" workbookViewId="0">
      <selection activeCell="A10" sqref="A10"/>
    </sheetView>
  </sheetViews>
  <sheetFormatPr defaultColWidth="8.7109375" defaultRowHeight="15" x14ac:dyDescent="0.25"/>
  <cols>
    <col min="1" max="1" width="19.140625" customWidth="1"/>
    <col min="2" max="2" width="24.85546875" customWidth="1"/>
    <col min="3" max="3" width="13.140625" customWidth="1"/>
    <col min="4" max="4" width="13" customWidth="1"/>
    <col min="5" max="5" width="18.85546875" customWidth="1"/>
    <col min="6" max="6" width="16.85546875" customWidth="1"/>
    <col min="7" max="7" width="11.85546875" customWidth="1"/>
    <col min="8" max="8" width="12.42578125" customWidth="1"/>
    <col min="9" max="9" width="15.42578125" customWidth="1"/>
    <col min="10" max="10" width="21.42578125" customWidth="1"/>
    <col min="11" max="11" width="26.28515625" customWidth="1"/>
    <col min="12" max="12" width="16.28515625" customWidth="1"/>
    <col min="13" max="13" width="19.7109375" customWidth="1"/>
    <col min="14" max="14" width="20.7109375" customWidth="1"/>
    <col min="15" max="15" width="16.85546875" customWidth="1"/>
  </cols>
  <sheetData>
    <row r="1" spans="1:16" ht="15" customHeight="1" x14ac:dyDescent="0.25">
      <c r="A1" s="176" t="s">
        <v>0</v>
      </c>
      <c r="B1" s="156">
        <f ca="1">NOW()</f>
        <v>46156.35136724537</v>
      </c>
      <c r="C1" s="4"/>
      <c r="D1" s="4"/>
      <c r="E1" s="4"/>
      <c r="F1" s="4"/>
      <c r="G1" s="177"/>
      <c r="H1" s="177"/>
      <c r="I1" s="177"/>
      <c r="J1" s="177"/>
      <c r="K1" s="177"/>
      <c r="L1" s="177"/>
      <c r="M1" s="177"/>
      <c r="N1" s="177"/>
    </row>
    <row r="2" spans="1:16" ht="33.75" x14ac:dyDescent="0.25">
      <c r="A2" s="303" t="s">
        <v>1</v>
      </c>
      <c r="B2" s="304"/>
      <c r="C2" s="304"/>
      <c r="D2" s="304"/>
      <c r="E2" s="304"/>
      <c r="F2" s="304"/>
      <c r="G2" s="304"/>
      <c r="H2" s="304"/>
      <c r="I2" s="304"/>
      <c r="J2" s="304"/>
      <c r="K2" s="304"/>
      <c r="L2" s="304"/>
      <c r="M2" s="304"/>
      <c r="N2" s="304"/>
      <c r="O2" s="290"/>
    </row>
    <row r="3" spans="1:16" ht="15" customHeight="1" x14ac:dyDescent="0.25">
      <c r="A3" s="178"/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  <c r="N3" s="177"/>
    </row>
    <row r="4" spans="1:16" s="5" customFormat="1" ht="36.75" customHeight="1" x14ac:dyDescent="0.25">
      <c r="A4" s="179" t="s">
        <v>2</v>
      </c>
      <c r="B4" s="179" t="s">
        <v>3</v>
      </c>
      <c r="C4" s="179" t="s">
        <v>4</v>
      </c>
      <c r="D4" s="179" t="s">
        <v>5</v>
      </c>
      <c r="E4" s="179" t="s">
        <v>6</v>
      </c>
      <c r="F4" s="179" t="s">
        <v>7</v>
      </c>
      <c r="G4" s="179" t="s">
        <v>8</v>
      </c>
      <c r="H4" s="179" t="s">
        <v>9</v>
      </c>
      <c r="I4" s="179" t="s">
        <v>10</v>
      </c>
      <c r="J4" s="179" t="s">
        <v>11</v>
      </c>
      <c r="K4" s="179" t="s">
        <v>12</v>
      </c>
      <c r="L4" s="72" t="s">
        <v>13</v>
      </c>
      <c r="M4" s="72" t="s">
        <v>14</v>
      </c>
      <c r="N4" s="72" t="s">
        <v>15</v>
      </c>
      <c r="O4" s="72" t="s">
        <v>16</v>
      </c>
      <c r="P4" s="172"/>
    </row>
    <row r="5" spans="1:16" s="6" customFormat="1" ht="15" customHeight="1" x14ac:dyDescent="0.25">
      <c r="A5" s="180" t="str">
        <f>Deep_Dive!A8</f>
        <v>11-15 Station St</v>
      </c>
      <c r="B5" s="181" t="str">
        <f>Deep_Dive!H8</f>
        <v>nan</v>
      </c>
      <c r="C5" s="271" t="str">
        <f>_xlfn.LET(_xlpm.variance,E5-Deep_Dive!C8,
     IF(_xlpm.variance&gt;10,"CRITICAL",
        IF(_xlpm.variance&gt;=0,"AT RISK","ON TRACK")))</f>
        <v>CRITICAL</v>
      </c>
      <c r="D5" s="182">
        <f>Deep_Dive!C8</f>
        <v>46188</v>
      </c>
      <c r="E5" s="182">
        <f>Deep_Dive!B8</f>
        <v>46288</v>
      </c>
      <c r="F5" s="272">
        <v>-17</v>
      </c>
      <c r="G5" s="183">
        <f>Deep_Dive!E8</f>
        <v>23</v>
      </c>
      <c r="H5" s="273" t="str">
        <f t="shared" ref="H5:H10" ca="1" si="0">IF(J5 &lt; -1000, "OVER RUN", IF(J5 &lt; 0, "TIGHT", "HEALTHY"))</f>
        <v>OVER RUN</v>
      </c>
      <c r="I5" s="104">
        <f>Deep_Dive!D19</f>
        <v>524363.28</v>
      </c>
      <c r="J5" s="273">
        <f ca="1">Deep_Dive!M7</f>
        <v>-34556.493035658379</v>
      </c>
      <c r="K5" s="184">
        <f>Deep_Dive!G19</f>
        <v>0.24530006633304022</v>
      </c>
      <c r="L5" s="185">
        <f ca="1">Budgets_Solo!J3</f>
        <v>14810.994032258064</v>
      </c>
      <c r="M5" s="283">
        <v>-211.83</v>
      </c>
      <c r="N5" s="283">
        <v>-14995.26</v>
      </c>
      <c r="O5" s="183">
        <f t="shared" ref="O5:O10" ca="1" si="1">E5-TODAY()</f>
        <v>132</v>
      </c>
      <c r="P5" s="173"/>
    </row>
    <row r="6" spans="1:16" s="7" customFormat="1" ht="15" customHeight="1" x14ac:dyDescent="0.25">
      <c r="A6" s="186" t="str">
        <f>Deep_Dive!A9</f>
        <v>17 Glydon Ave</v>
      </c>
      <c r="B6" s="187" t="str">
        <f>Deep_Dive!H9</f>
        <v>nan</v>
      </c>
      <c r="C6" s="274" t="str">
        <f>_xlfn.LET(_xlpm.variance,E6-Deep_Dive!C9,
     IF(_xlpm.variance&gt;10,"CRITICAL",
        IF(_xlpm.variance&gt;=0,"AT RISK","ON TRACK")))</f>
        <v>CRITICAL</v>
      </c>
      <c r="D6" s="188">
        <f>Deep_Dive!C9</f>
        <v>46286</v>
      </c>
      <c r="E6" s="188">
        <f>Deep_Dive!B9</f>
        <v>46310</v>
      </c>
      <c r="F6" s="272">
        <v>-36</v>
      </c>
      <c r="G6" s="189">
        <f>Deep_Dive!E9</f>
        <v>24</v>
      </c>
      <c r="H6" s="190" t="str">
        <f t="shared" ca="1" si="0"/>
        <v>HEALTHY</v>
      </c>
      <c r="I6" s="191">
        <f>Deep_Dive!D20</f>
        <v>923388.1</v>
      </c>
      <c r="J6" s="190">
        <f ca="1">Deep_Dive!M8</f>
        <v>193672.33918643813</v>
      </c>
      <c r="K6" s="192">
        <f>Deep_Dive!G20</f>
        <v>0.25074320918657456</v>
      </c>
      <c r="L6" s="193">
        <f ca="1">Budgets_Solo!J4</f>
        <v>15865.324615384616</v>
      </c>
      <c r="M6" s="284">
        <v>-1017.37</v>
      </c>
      <c r="N6" s="284">
        <v>-15138.91</v>
      </c>
      <c r="O6" s="183">
        <f t="shared" ca="1" si="1"/>
        <v>154</v>
      </c>
      <c r="P6" s="174"/>
    </row>
    <row r="7" spans="1:16" s="6" customFormat="1" ht="15" customHeight="1" x14ac:dyDescent="0.25">
      <c r="A7" s="180" t="s">
        <v>332</v>
      </c>
      <c r="B7" s="181" t="str">
        <f>Deep_Dive!H10</f>
        <v>Site Preparation</v>
      </c>
      <c r="C7" s="271" t="str">
        <f>_xlfn.LET(_xlpm.variance,E7-Deep_Dive!C10,
     IF(_xlpm.variance&gt;10,"CRITICAL",
        IF(_xlpm.variance&gt;=0,"AT RISK","ON TRACK")))</f>
        <v>ON TRACK</v>
      </c>
      <c r="D7" s="182">
        <f>Deep_Dive!C10</f>
        <v>46278</v>
      </c>
      <c r="E7" s="182">
        <f>Deep_Dive!B10</f>
        <v>46230</v>
      </c>
      <c r="F7" s="272">
        <v>0</v>
      </c>
      <c r="G7" s="183">
        <f>Deep_Dive!E10</f>
        <v>0</v>
      </c>
      <c r="H7" s="273" t="str">
        <f t="shared" ca="1" si="0"/>
        <v>OVER RUN</v>
      </c>
      <c r="I7" s="104">
        <f>Deep_Dive!D21</f>
        <v>153059.6</v>
      </c>
      <c r="J7" s="273">
        <f ca="1">Deep_Dive!M9</f>
        <v>-94482.045789473676</v>
      </c>
      <c r="K7" s="184">
        <f>Deep_Dive!G21</f>
        <v>0.49897919936627544</v>
      </c>
      <c r="L7" s="185">
        <f ca="1">Budgets_Solo!J5</f>
        <v>10647.922727272728</v>
      </c>
      <c r="M7" s="283">
        <v>10786.119999999999</v>
      </c>
      <c r="N7" s="283">
        <v>5327.95</v>
      </c>
      <c r="O7" s="183">
        <f t="shared" ca="1" si="1"/>
        <v>74</v>
      </c>
      <c r="P7" s="173"/>
    </row>
    <row r="8" spans="1:16" s="7" customFormat="1" ht="15" customHeight="1" x14ac:dyDescent="0.25">
      <c r="A8" s="186" t="str">
        <f>Deep_Dive!A11</f>
        <v>30 Connelly</v>
      </c>
      <c r="B8" s="187" t="str">
        <f>Deep_Dive!H11</f>
        <v>nan</v>
      </c>
      <c r="C8" s="274" t="str">
        <f>_xlfn.LET(_xlpm.variance,E8-Deep_Dive!C11,
     IF(_xlpm.variance&gt;10,"CRITICAL",
        IF(_xlpm.variance&gt;=0,"AT RISK","ON TRACK")))</f>
        <v>CRITICAL</v>
      </c>
      <c r="D8" s="188">
        <f>Deep_Dive!C11</f>
        <v>46268</v>
      </c>
      <c r="E8" s="188">
        <f>Deep_Dive!B11</f>
        <v>46283</v>
      </c>
      <c r="F8" s="272">
        <v>8</v>
      </c>
      <c r="G8" s="189">
        <f>Deep_Dive!E11</f>
        <v>37</v>
      </c>
      <c r="H8" s="190" t="str">
        <f t="shared" ca="1" si="0"/>
        <v>HEALTHY</v>
      </c>
      <c r="I8" s="191">
        <f>Deep_Dive!D22</f>
        <v>327108.23</v>
      </c>
      <c r="J8" s="190">
        <f ca="1">Deep_Dive!M10</f>
        <v>63662.835792642116</v>
      </c>
      <c r="K8" s="192">
        <f>Deep_Dive!G22</f>
        <v>0.2617829431962248</v>
      </c>
      <c r="L8" s="193">
        <f ca="1">Budgets_Solo!J6</f>
        <v>7637.1252941176481</v>
      </c>
      <c r="M8" s="284">
        <v>42445.579999999994</v>
      </c>
      <c r="N8" s="284">
        <v>212201.95</v>
      </c>
      <c r="O8" s="183">
        <f t="shared" ca="1" si="1"/>
        <v>127</v>
      </c>
      <c r="P8" s="174"/>
    </row>
    <row r="9" spans="1:16" s="6" customFormat="1" ht="15" customHeight="1" x14ac:dyDescent="0.25">
      <c r="A9" s="180" t="s">
        <v>333</v>
      </c>
      <c r="B9" s="181" t="str">
        <f>Deep_Dive!H12</f>
        <v>nan</v>
      </c>
      <c r="C9" s="271" t="str">
        <f>_xlfn.LET(_xlpm.variance,E9-Deep_Dive!C12,
     IF(_xlpm.variance&gt;10,"CRITICAL",
        IF(_xlpm.variance&gt;=0,"AT RISK","ON TRACK")))</f>
        <v>CRITICAL</v>
      </c>
      <c r="D9" s="182">
        <f>Deep_Dive!C12</f>
        <v>46080</v>
      </c>
      <c r="E9" s="182">
        <f>Deep_Dive!B12</f>
        <v>46143</v>
      </c>
      <c r="F9" s="272">
        <v>47</v>
      </c>
      <c r="G9" s="183">
        <f>Deep_Dive!E12</f>
        <v>0</v>
      </c>
      <c r="H9" s="273" t="str">
        <f t="shared" ca="1" si="0"/>
        <v>OVER RUN</v>
      </c>
      <c r="I9" s="104">
        <v>610618</v>
      </c>
      <c r="J9" s="273">
        <f ca="1">Deep_Dive!M11</f>
        <v>-293623.42067924526</v>
      </c>
      <c r="K9" s="184">
        <f>Deep_Dive!G23</f>
        <v>0.20145432247346468</v>
      </c>
      <c r="L9" s="185">
        <f ca="1">Budgets_Solo!J7</f>
        <v>14524.385836065572</v>
      </c>
      <c r="M9" s="283">
        <v>34834.81</v>
      </c>
      <c r="N9" s="283">
        <v>29336.6</v>
      </c>
      <c r="O9" s="183">
        <f t="shared" ca="1" si="1"/>
        <v>-13</v>
      </c>
      <c r="P9" s="173"/>
    </row>
    <row r="10" spans="1:16" s="7" customFormat="1" ht="15" customHeight="1" x14ac:dyDescent="0.25">
      <c r="A10" s="194" t="str">
        <f>Deep_Dive!A13</f>
        <v xml:space="preserve">801 MHBR </v>
      </c>
      <c r="B10" s="195" t="str">
        <f>Deep_Dive!H13</f>
        <v xml:space="preserve">Finishing &amp; Handover </v>
      </c>
      <c r="C10" s="275" t="str">
        <f>_xlfn.LET(_xlpm.variance,E10-Deep_Dive!C13,
     IF(_xlpm.variance&gt;10,"CRITICAL",
        IF(_xlpm.variance&gt;=0,"AT RISK","ON TRACK")))</f>
        <v>ON TRACK</v>
      </c>
      <c r="D10" s="196">
        <f>Deep_Dive!C13</f>
        <v>46140</v>
      </c>
      <c r="E10" s="196">
        <f>Deep_Dive!B13</f>
        <v>46133</v>
      </c>
      <c r="F10" s="276">
        <v>-5</v>
      </c>
      <c r="G10" s="197">
        <f>Deep_Dive!E13</f>
        <v>6</v>
      </c>
      <c r="H10" s="198" t="str">
        <f t="shared" ca="1" si="0"/>
        <v>OVER RUN</v>
      </c>
      <c r="I10" s="199">
        <f>Deep_Dive!D24</f>
        <v>9321.9699999999993</v>
      </c>
      <c r="J10" s="190">
        <f ca="1">Deep_Dive!M12</f>
        <v>-5017.1428571428587</v>
      </c>
      <c r="K10" s="192">
        <f>Deep_Dive!G24</f>
        <v>0.6200718613441234</v>
      </c>
      <c r="L10" s="200">
        <f ca="1">Budgets_Solo!J8</f>
        <v>988.6937878787877</v>
      </c>
      <c r="M10" s="285">
        <v>-179.55</v>
      </c>
      <c r="N10" s="285">
        <v>-179.55</v>
      </c>
      <c r="O10" s="183">
        <f t="shared" ca="1" si="1"/>
        <v>-23</v>
      </c>
      <c r="P10" s="174"/>
    </row>
    <row r="11" spans="1:16" s="6" customFormat="1" ht="15" customHeight="1" x14ac:dyDescent="0.25">
      <c r="A11" s="289"/>
      <c r="B11" s="289"/>
      <c r="C11" s="289"/>
      <c r="D11" s="289"/>
      <c r="E11" s="289"/>
      <c r="F11" s="289"/>
      <c r="G11" s="289"/>
      <c r="H11" s="289"/>
      <c r="I11" s="289"/>
      <c r="J11" s="201" t="s">
        <v>17</v>
      </c>
      <c r="K11" s="202">
        <f>AVERAGE(K5:K9)</f>
        <v>0.29165194811111594</v>
      </c>
      <c r="L11" s="170"/>
      <c r="M11" s="170"/>
      <c r="N11" s="170"/>
      <c r="O11" s="170"/>
      <c r="P11" s="173"/>
    </row>
    <row r="12" spans="1:16" ht="15" customHeight="1" x14ac:dyDescent="0.25">
      <c r="A12" s="305"/>
      <c r="B12" s="306"/>
      <c r="C12" s="306"/>
      <c r="D12" s="306"/>
      <c r="E12" s="306"/>
      <c r="F12" s="306"/>
      <c r="G12" s="306"/>
      <c r="H12" s="306"/>
      <c r="I12" s="306"/>
      <c r="J12" s="307"/>
      <c r="K12" s="203" t="s">
        <v>18</v>
      </c>
      <c r="L12" s="204">
        <f ca="1">SUM(Table4[[#Data],[#Totals],[Weekly Burn Rate]])</f>
        <v>64474.446292977416</v>
      </c>
      <c r="M12" s="286"/>
      <c r="N12" s="286"/>
      <c r="O12" s="287"/>
    </row>
    <row r="13" spans="1:16" ht="15" customHeight="1" x14ac:dyDescent="0.25">
      <c r="A13" s="205"/>
      <c r="B13" s="177"/>
      <c r="C13" s="177"/>
      <c r="D13" s="177"/>
      <c r="E13" s="177"/>
      <c r="F13" s="205"/>
      <c r="G13" s="177"/>
      <c r="H13" s="177"/>
      <c r="I13" s="177"/>
      <c r="J13" s="177"/>
      <c r="K13" s="177"/>
      <c r="L13" s="203" t="s">
        <v>19</v>
      </c>
      <c r="M13" s="206">
        <f>SUBTOTAL(109,Table4[Cashflow Lookahead (7Days)])</f>
        <v>86657.76</v>
      </c>
      <c r="N13" s="206">
        <f>SUBTOTAL(109,Table4[Cashflow Lookahead (30Days)])</f>
        <v>216552.78000000003</v>
      </c>
      <c r="O13" s="104"/>
    </row>
    <row r="14" spans="1:16" ht="15" customHeight="1" x14ac:dyDescent="0.25">
      <c r="A14" s="207"/>
      <c r="B14" s="177"/>
      <c r="C14" s="208"/>
      <c r="D14" s="208"/>
      <c r="E14" s="209"/>
      <c r="F14" s="209"/>
      <c r="G14" s="177"/>
      <c r="H14" s="177"/>
      <c r="I14" s="177"/>
      <c r="J14" s="177"/>
      <c r="K14" s="177"/>
      <c r="L14" s="177"/>
      <c r="M14" s="177"/>
      <c r="N14" s="177"/>
    </row>
    <row r="15" spans="1:16" ht="17.25" customHeight="1" x14ac:dyDescent="0.25">
      <c r="A15" s="3" t="s">
        <v>20</v>
      </c>
      <c r="B15" s="210"/>
      <c r="C15" s="210"/>
      <c r="D15" s="210"/>
      <c r="E15" s="210"/>
      <c r="F15" s="210"/>
      <c r="G15" s="210"/>
      <c r="H15" s="211"/>
      <c r="I15" s="212" t="s">
        <v>21</v>
      </c>
      <c r="J15" s="213" t="s">
        <v>22</v>
      </c>
      <c r="K15" s="291" t="s">
        <v>312</v>
      </c>
      <c r="L15" s="210"/>
      <c r="M15" s="211"/>
      <c r="N15" s="177"/>
      <c r="O15" s="177"/>
    </row>
    <row r="16" spans="1:16" ht="39.950000000000003" customHeight="1" x14ac:dyDescent="0.25">
      <c r="A16" s="312" t="s">
        <v>23</v>
      </c>
      <c r="B16" s="313"/>
      <c r="C16" s="312"/>
      <c r="D16" s="313"/>
      <c r="E16" s="2" t="s">
        <v>24</v>
      </c>
      <c r="F16" s="2" t="s">
        <v>25</v>
      </c>
      <c r="G16" s="210"/>
      <c r="H16" s="211"/>
      <c r="I16" s="212" t="s">
        <v>26</v>
      </c>
      <c r="J16" s="212" t="s">
        <v>27</v>
      </c>
      <c r="K16" s="214" t="s">
        <v>28</v>
      </c>
      <c r="L16" s="210"/>
      <c r="M16" s="211"/>
      <c r="N16" s="177"/>
      <c r="O16" s="177"/>
    </row>
    <row r="17" spans="1:15" ht="39.950000000000003" customHeight="1" x14ac:dyDescent="0.25">
      <c r="A17" s="308" t="s">
        <v>29</v>
      </c>
      <c r="B17" s="309"/>
      <c r="C17" s="308"/>
      <c r="D17" s="309"/>
      <c r="E17" s="277">
        <f>'Revised Client Price'!B7</f>
        <v>3492840.81</v>
      </c>
      <c r="F17" s="215" t="s">
        <v>30</v>
      </c>
      <c r="G17" s="210"/>
      <c r="H17" s="211"/>
      <c r="I17" s="212" t="s">
        <v>31</v>
      </c>
      <c r="J17" s="212" t="s">
        <v>32</v>
      </c>
      <c r="K17" s="214" t="s">
        <v>33</v>
      </c>
      <c r="L17" s="210"/>
      <c r="M17" s="211"/>
      <c r="N17" s="177"/>
      <c r="O17" s="177"/>
    </row>
    <row r="18" spans="1:15" ht="39.950000000000003" customHeight="1" x14ac:dyDescent="0.25">
      <c r="A18" s="308" t="s">
        <v>34</v>
      </c>
      <c r="B18" s="309"/>
      <c r="C18" s="308"/>
      <c r="D18" s="309"/>
      <c r="E18" s="277">
        <f>'Revised Client Price'!E7</f>
        <v>1711908.65</v>
      </c>
      <c r="F18" s="215" t="s">
        <v>35</v>
      </c>
      <c r="G18" s="210"/>
      <c r="H18" s="211"/>
      <c r="I18" s="212" t="s">
        <v>36</v>
      </c>
      <c r="J18" s="212" t="s">
        <v>37</v>
      </c>
      <c r="K18" s="214" t="s">
        <v>38</v>
      </c>
      <c r="L18" s="210"/>
      <c r="M18" s="211"/>
      <c r="N18" s="177"/>
      <c r="O18" s="177"/>
    </row>
    <row r="19" spans="1:15" ht="39.950000000000003" customHeight="1" x14ac:dyDescent="0.25">
      <c r="A19" s="308" t="s">
        <v>39</v>
      </c>
      <c r="B19" s="309"/>
      <c r="C19" s="308"/>
      <c r="D19" s="309"/>
      <c r="E19" s="278">
        <f>'Revised Client Price'!B7-'Revised Client Price'!F7</f>
        <v>2272773.7400000002</v>
      </c>
      <c r="F19" s="215" t="s">
        <v>40</v>
      </c>
      <c r="G19" s="210"/>
      <c r="H19" s="211"/>
      <c r="I19" s="216" t="s">
        <v>41</v>
      </c>
      <c r="J19" s="216" t="s">
        <v>42</v>
      </c>
      <c r="K19" s="177"/>
      <c r="L19" s="177"/>
      <c r="M19" s="177"/>
      <c r="N19" s="177"/>
    </row>
    <row r="20" spans="1:15" ht="16.5" customHeight="1" x14ac:dyDescent="0.25">
      <c r="A20" s="217"/>
      <c r="B20" s="217"/>
      <c r="C20" s="217"/>
      <c r="D20" s="217"/>
      <c r="E20" s="217"/>
      <c r="F20" s="217"/>
      <c r="G20" s="210"/>
      <c r="H20" s="211"/>
      <c r="I20" s="177"/>
      <c r="J20" s="177"/>
      <c r="K20" s="177"/>
      <c r="L20" s="177"/>
      <c r="M20" s="177"/>
      <c r="N20" s="177"/>
    </row>
    <row r="21" spans="1:15" ht="39.950000000000003" customHeight="1" x14ac:dyDescent="0.25">
      <c r="A21" s="308" t="s">
        <v>43</v>
      </c>
      <c r="B21" s="309"/>
      <c r="C21" s="308"/>
      <c r="D21" s="309"/>
      <c r="E21" s="277">
        <f>'Revised Client Price'!B7-Deep_Dive!D25</f>
        <v>932073.35999999987</v>
      </c>
      <c r="F21" s="215" t="s">
        <v>44</v>
      </c>
      <c r="G21" s="210"/>
      <c r="H21" s="211"/>
      <c r="I21" s="177"/>
      <c r="J21" s="177"/>
      <c r="K21" s="177"/>
      <c r="L21" s="177"/>
      <c r="M21" s="177"/>
      <c r="N21" s="177"/>
    </row>
    <row r="22" spans="1:15" ht="39.950000000000003" customHeight="1" x14ac:dyDescent="0.25">
      <c r="A22" s="308" t="s">
        <v>45</v>
      </c>
      <c r="B22" s="309"/>
      <c r="C22" s="308"/>
      <c r="D22" s="309"/>
      <c r="E22" s="277">
        <f>Deep_Dive!D25</f>
        <v>2560767.4500000002</v>
      </c>
      <c r="F22" s="215" t="s">
        <v>46</v>
      </c>
      <c r="G22" s="210"/>
      <c r="H22" s="211"/>
      <c r="I22" s="177"/>
      <c r="J22" s="177"/>
      <c r="K22" s="177"/>
      <c r="L22" s="177"/>
      <c r="M22" s="177"/>
      <c r="N22" s="177"/>
    </row>
    <row r="23" spans="1:15" ht="39.950000000000003" customHeight="1" x14ac:dyDescent="0.25">
      <c r="A23" s="308" t="s">
        <v>47</v>
      </c>
      <c r="B23" s="309"/>
      <c r="C23" s="308"/>
      <c r="D23" s="309"/>
      <c r="E23" s="279">
        <f>'Revised Client Price'!E7/Deep_Dive!D25*Deep_Dive!F25</f>
        <v>606701.25165600365</v>
      </c>
      <c r="F23" s="215" t="s">
        <v>48</v>
      </c>
      <c r="G23" s="210"/>
      <c r="H23" s="211"/>
      <c r="I23" s="177"/>
      <c r="J23" s="177"/>
      <c r="K23" s="177"/>
      <c r="L23" s="177"/>
      <c r="M23" s="177"/>
      <c r="N23" s="177"/>
    </row>
    <row r="24" spans="1:15" ht="39.950000000000003" customHeight="1" x14ac:dyDescent="0.25">
      <c r="A24" s="308" t="s">
        <v>49</v>
      </c>
      <c r="B24" s="309"/>
      <c r="C24" s="308"/>
      <c r="D24" s="309"/>
      <c r="E24" s="281">
        <f>Deep_Dive!G25</f>
        <v>0.29165194811111594</v>
      </c>
      <c r="F24" s="215" t="s">
        <v>50</v>
      </c>
      <c r="G24" s="210"/>
      <c r="H24" s="211"/>
      <c r="I24" s="177"/>
      <c r="J24" s="177"/>
      <c r="K24" s="177"/>
      <c r="L24" s="177"/>
      <c r="M24" s="177"/>
      <c r="N24" s="177"/>
    </row>
    <row r="25" spans="1:15" ht="39.950000000000003" customHeight="1" x14ac:dyDescent="0.25">
      <c r="A25" s="314" t="s">
        <v>51</v>
      </c>
      <c r="B25" s="315"/>
      <c r="C25" s="308"/>
      <c r="D25" s="309"/>
      <c r="E25" s="279" t="e">
        <f>'Other Metrics'!#REF!</f>
        <v>#REF!</v>
      </c>
      <c r="F25" s="218" t="s">
        <v>52</v>
      </c>
      <c r="G25" s="210"/>
      <c r="H25" s="211"/>
      <c r="I25" s="177"/>
      <c r="J25" s="177"/>
      <c r="K25" s="177"/>
      <c r="L25" s="177"/>
      <c r="M25" s="177"/>
      <c r="N25" s="177"/>
    </row>
    <row r="26" spans="1:15" ht="16.5" customHeight="1" x14ac:dyDescent="0.25">
      <c r="A26" s="217"/>
      <c r="B26" s="217"/>
      <c r="C26" s="217"/>
      <c r="D26" s="217"/>
      <c r="E26" s="217"/>
      <c r="F26" s="217"/>
      <c r="G26" s="210"/>
      <c r="H26" s="211"/>
      <c r="I26" s="177"/>
      <c r="J26" s="177"/>
      <c r="K26" s="177"/>
      <c r="L26" s="177"/>
      <c r="M26" s="177"/>
      <c r="N26" s="177"/>
    </row>
    <row r="27" spans="1:15" ht="39.950000000000003" customHeight="1" x14ac:dyDescent="0.25">
      <c r="A27" s="308" t="s">
        <v>53</v>
      </c>
      <c r="B27" s="309"/>
      <c r="C27" s="308"/>
      <c r="D27" s="309"/>
      <c r="E27" s="277">
        <f ca="1">L12</f>
        <v>64474.446292977416</v>
      </c>
      <c r="F27" s="219" t="s">
        <v>54</v>
      </c>
      <c r="G27" s="210"/>
      <c r="H27" s="211"/>
      <c r="I27" s="177"/>
      <c r="J27" s="177"/>
      <c r="K27" s="177"/>
      <c r="L27" s="177"/>
      <c r="M27" s="177"/>
      <c r="N27" s="177"/>
    </row>
    <row r="28" spans="1:15" ht="39.950000000000003" customHeight="1" x14ac:dyDescent="0.25">
      <c r="A28" s="308" t="s">
        <v>55</v>
      </c>
      <c r="B28" s="309"/>
      <c r="C28" s="308"/>
      <c r="D28" s="309"/>
      <c r="E28" s="280">
        <f>M13</f>
        <v>86657.76</v>
      </c>
      <c r="F28" s="219" t="s">
        <v>56</v>
      </c>
      <c r="G28" s="210"/>
      <c r="H28" s="211"/>
      <c r="I28" s="177"/>
      <c r="J28" s="177"/>
      <c r="K28" s="177"/>
      <c r="L28" s="177"/>
      <c r="M28" s="177"/>
      <c r="N28" s="177"/>
    </row>
    <row r="29" spans="1:15" ht="39.950000000000003" customHeight="1" x14ac:dyDescent="0.25">
      <c r="A29" s="308" t="s">
        <v>57</v>
      </c>
      <c r="B29" s="309"/>
      <c r="C29" s="308"/>
      <c r="D29" s="309"/>
      <c r="E29" s="277">
        <f>N13</f>
        <v>216552.78000000003</v>
      </c>
      <c r="F29" s="219" t="s">
        <v>58</v>
      </c>
      <c r="G29" s="210"/>
      <c r="H29" s="211"/>
      <c r="I29" s="177"/>
      <c r="J29" s="177"/>
      <c r="K29" s="177"/>
      <c r="L29" s="177"/>
      <c r="M29" s="177"/>
      <c r="N29" s="177"/>
    </row>
    <row r="30" spans="1:15" ht="39.950000000000003" customHeight="1" x14ac:dyDescent="0.25">
      <c r="A30" s="308" t="s">
        <v>59</v>
      </c>
      <c r="B30" s="309"/>
      <c r="C30" s="308"/>
      <c r="D30" s="309"/>
      <c r="E30" s="288">
        <f>COUNTA(A5:A10)</f>
        <v>6</v>
      </c>
      <c r="F30" s="219" t="s">
        <v>60</v>
      </c>
      <c r="G30" s="210"/>
      <c r="H30" s="211"/>
      <c r="I30" s="177"/>
      <c r="J30" s="177"/>
      <c r="K30" s="177"/>
      <c r="L30" s="177"/>
      <c r="M30" s="177"/>
      <c r="N30" s="177"/>
    </row>
    <row r="31" spans="1:15" ht="39.950000000000003" customHeight="1" x14ac:dyDescent="0.25">
      <c r="A31" s="310" t="s">
        <v>61</v>
      </c>
      <c r="B31" s="311"/>
      <c r="C31" s="310"/>
      <c r="D31" s="311"/>
      <c r="E31" s="282">
        <f ca="1">AVERAGE(O5:O10)</f>
        <v>75.166666666666671</v>
      </c>
      <c r="F31" s="219" t="s">
        <v>62</v>
      </c>
      <c r="G31" s="210"/>
      <c r="H31" s="211"/>
      <c r="I31" s="177"/>
      <c r="J31" s="177"/>
      <c r="K31" s="177"/>
      <c r="L31" s="177"/>
      <c r="M31" s="177"/>
      <c r="N31" s="177"/>
    </row>
    <row r="32" spans="1:15" ht="27" customHeight="1" x14ac:dyDescent="0.25">
      <c r="A32" s="177"/>
      <c r="B32" s="177"/>
      <c r="C32" s="177"/>
      <c r="D32" s="177"/>
      <c r="E32" s="177"/>
      <c r="F32" s="177"/>
      <c r="G32" s="177"/>
      <c r="H32" s="177"/>
      <c r="I32" s="177"/>
      <c r="J32" s="177"/>
      <c r="K32" s="177"/>
      <c r="L32" s="177"/>
      <c r="M32" s="177"/>
      <c r="N32" s="177"/>
    </row>
    <row r="33" spans="1:15" ht="27" customHeight="1" x14ac:dyDescent="0.25">
      <c r="A33" s="177"/>
      <c r="B33" s="177"/>
      <c r="C33" s="177"/>
      <c r="D33" s="177"/>
      <c r="E33" s="177"/>
      <c r="F33" s="177"/>
      <c r="G33" s="177"/>
      <c r="H33" s="177"/>
      <c r="I33" s="177"/>
      <c r="J33" s="177"/>
      <c r="K33" s="177"/>
      <c r="L33" s="177"/>
      <c r="M33" s="177"/>
      <c r="N33" s="177"/>
    </row>
    <row r="34" spans="1:15" ht="27" customHeight="1" x14ac:dyDescent="0.25">
      <c r="A34" s="177"/>
      <c r="B34" s="177"/>
      <c r="C34" s="177"/>
      <c r="D34" s="177"/>
      <c r="E34" s="177"/>
      <c r="F34" s="177"/>
      <c r="G34" s="177"/>
      <c r="H34" s="177"/>
      <c r="I34" s="177"/>
      <c r="J34" s="177"/>
      <c r="K34" s="177"/>
      <c r="L34" s="177"/>
      <c r="M34" s="177"/>
      <c r="N34" s="177"/>
    </row>
    <row r="35" spans="1:15" ht="27" customHeight="1" x14ac:dyDescent="0.25">
      <c r="A35" s="177"/>
      <c r="B35" s="177"/>
      <c r="C35" s="177"/>
      <c r="D35" s="177"/>
      <c r="E35" s="177"/>
      <c r="F35" s="177"/>
      <c r="G35" s="177"/>
      <c r="H35" s="177"/>
      <c r="I35" s="177"/>
      <c r="J35" s="177"/>
      <c r="K35" s="177"/>
      <c r="L35" s="177"/>
      <c r="M35" s="177"/>
      <c r="N35" s="177"/>
    </row>
    <row r="36" spans="1:15" ht="27" customHeight="1" x14ac:dyDescent="0.25">
      <c r="A36" s="177"/>
      <c r="B36" s="177"/>
      <c r="C36" s="177"/>
      <c r="D36" s="177"/>
      <c r="E36" s="177"/>
      <c r="F36" s="177"/>
      <c r="G36" s="177"/>
      <c r="H36" s="177"/>
      <c r="I36" s="177"/>
      <c r="J36" s="177"/>
      <c r="K36" s="177"/>
      <c r="L36" s="177"/>
      <c r="M36" s="177"/>
      <c r="N36" s="177"/>
    </row>
    <row r="37" spans="1:15" ht="27" customHeight="1" x14ac:dyDescent="0.25">
      <c r="A37" s="177"/>
      <c r="B37" s="177"/>
      <c r="C37" s="177"/>
      <c r="D37" s="177"/>
      <c r="E37" s="177"/>
      <c r="F37" s="177"/>
      <c r="G37" s="177"/>
      <c r="H37" s="177"/>
      <c r="I37" s="177"/>
      <c r="J37" s="177"/>
      <c r="K37" s="177"/>
      <c r="L37" s="177"/>
      <c r="M37" s="177"/>
      <c r="N37" s="177"/>
    </row>
    <row r="38" spans="1:15" ht="27" customHeight="1" x14ac:dyDescent="0.25">
      <c r="A38" s="177"/>
      <c r="B38" s="177"/>
      <c r="C38" s="177"/>
      <c r="D38" s="177"/>
      <c r="E38" s="177"/>
      <c r="F38" s="177"/>
      <c r="G38" s="177"/>
      <c r="H38" s="177"/>
      <c r="I38" s="177"/>
      <c r="J38" s="177"/>
      <c r="K38" s="177"/>
      <c r="L38" s="177"/>
      <c r="M38" s="177"/>
      <c r="N38" s="177"/>
    </row>
    <row r="39" spans="1:15" ht="3.75" customHeight="1" x14ac:dyDescent="0.25">
      <c r="A39" s="177"/>
      <c r="B39" s="177"/>
      <c r="C39" s="177"/>
      <c r="D39" s="177"/>
      <c r="E39" s="177"/>
      <c r="F39" s="177"/>
      <c r="G39" s="177"/>
      <c r="H39" s="177"/>
      <c r="I39" s="177"/>
      <c r="J39" s="177"/>
      <c r="K39" s="177"/>
      <c r="L39" s="177"/>
      <c r="M39" s="177"/>
      <c r="N39" s="177"/>
    </row>
    <row r="40" spans="1:15" ht="66.75" customHeight="1" x14ac:dyDescent="0.25">
      <c r="A40" s="177"/>
      <c r="B40" s="177"/>
      <c r="C40" s="177"/>
      <c r="D40" s="177"/>
      <c r="E40" s="177"/>
      <c r="F40" s="177"/>
      <c r="G40" s="177"/>
      <c r="H40" s="177"/>
      <c r="I40" s="177"/>
      <c r="J40" s="177"/>
      <c r="K40" s="177"/>
      <c r="L40" s="177"/>
      <c r="M40" s="177"/>
      <c r="N40" s="177"/>
    </row>
    <row r="41" spans="1:15" ht="15" customHeight="1" x14ac:dyDescent="0.25">
      <c r="A41" s="177"/>
      <c r="B41" s="177"/>
      <c r="C41" s="177"/>
      <c r="D41" s="177"/>
      <c r="E41" s="177"/>
      <c r="F41" s="177"/>
      <c r="G41" s="177"/>
      <c r="H41" s="177"/>
      <c r="I41" s="177"/>
      <c r="J41" s="177"/>
      <c r="K41" s="177"/>
      <c r="L41" s="177"/>
      <c r="M41" s="177"/>
      <c r="N41" s="177"/>
    </row>
    <row r="42" spans="1:15" ht="15" customHeight="1" x14ac:dyDescent="0.25">
      <c r="A42" s="177"/>
      <c r="B42" s="177"/>
      <c r="C42" s="177"/>
      <c r="D42" s="177"/>
      <c r="E42" s="177"/>
      <c r="F42" s="177"/>
      <c r="G42" s="177"/>
      <c r="H42" s="177"/>
      <c r="I42" s="177"/>
      <c r="J42" s="177"/>
      <c r="K42" s="177"/>
      <c r="L42" s="177"/>
      <c r="M42" s="220"/>
      <c r="N42" s="177"/>
    </row>
    <row r="43" spans="1:15" ht="15" customHeight="1" x14ac:dyDescent="0.25">
      <c r="A43" s="177"/>
      <c r="B43" s="177"/>
      <c r="C43" s="177"/>
      <c r="D43" s="177"/>
      <c r="E43" s="177"/>
      <c r="F43" s="177"/>
      <c r="G43" s="177"/>
      <c r="H43" s="177"/>
      <c r="I43" s="177"/>
      <c r="J43" s="177"/>
      <c r="K43" s="177"/>
      <c r="L43" s="177"/>
      <c r="M43" s="177"/>
      <c r="N43" s="177"/>
      <c r="O43" s="10"/>
    </row>
    <row r="44" spans="1:15" ht="15" customHeight="1" x14ac:dyDescent="0.25">
      <c r="A44" s="177"/>
      <c r="B44" s="177"/>
      <c r="C44" s="177"/>
      <c r="D44" s="177"/>
      <c r="E44" s="177"/>
      <c r="F44" s="177"/>
      <c r="G44" s="177"/>
      <c r="H44" s="177"/>
      <c r="I44" s="177"/>
      <c r="J44" s="177"/>
      <c r="K44" s="177"/>
      <c r="L44" s="177"/>
      <c r="M44" s="177"/>
      <c r="N44" s="177"/>
    </row>
    <row r="45" spans="1:15" ht="15" customHeight="1" x14ac:dyDescent="0.25">
      <c r="A45" s="177"/>
      <c r="B45" s="177"/>
      <c r="C45" s="177"/>
      <c r="D45" s="177"/>
      <c r="E45" s="177"/>
      <c r="F45" s="177"/>
      <c r="G45" s="177"/>
      <c r="H45" s="177"/>
      <c r="I45" s="177"/>
      <c r="J45" s="177"/>
      <c r="K45" s="177"/>
      <c r="L45" s="177"/>
      <c r="M45" s="220"/>
      <c r="N45" s="177"/>
    </row>
    <row r="46" spans="1:15" ht="15" customHeight="1" x14ac:dyDescent="0.25">
      <c r="A46" s="177"/>
      <c r="B46" s="177"/>
      <c r="C46" s="177"/>
      <c r="D46" s="177"/>
      <c r="E46" s="177"/>
      <c r="F46" s="177"/>
      <c r="G46" s="177"/>
      <c r="H46" s="177"/>
      <c r="I46" s="177"/>
      <c r="J46" s="177"/>
      <c r="K46" s="177"/>
      <c r="L46" s="177"/>
      <c r="M46" s="177"/>
      <c r="N46" s="177"/>
      <c r="O46" s="10"/>
    </row>
    <row r="47" spans="1:15" ht="15" customHeight="1" x14ac:dyDescent="0.25">
      <c r="A47" s="177"/>
      <c r="B47" s="177"/>
      <c r="C47" s="177"/>
      <c r="D47" s="177"/>
      <c r="E47" s="177"/>
      <c r="F47" s="177"/>
      <c r="G47" s="177"/>
      <c r="H47" s="177"/>
      <c r="I47" s="177"/>
      <c r="J47" s="177"/>
      <c r="K47" s="177"/>
      <c r="L47" s="209"/>
      <c r="M47" s="177"/>
      <c r="N47" s="177"/>
    </row>
    <row r="48" spans="1:15" ht="15" customHeight="1" x14ac:dyDescent="0.25">
      <c r="A48" s="177"/>
      <c r="B48" s="177"/>
      <c r="C48" s="177"/>
      <c r="D48" s="177"/>
      <c r="E48" s="177"/>
      <c r="F48" s="177"/>
      <c r="G48" s="177"/>
      <c r="H48" s="177"/>
      <c r="I48" s="177"/>
      <c r="J48" s="177"/>
      <c r="K48" s="177"/>
      <c r="L48" s="177"/>
      <c r="M48" s="177"/>
      <c r="N48" s="177"/>
    </row>
    <row r="49" spans="1:14" x14ac:dyDescent="0.25">
      <c r="A49" s="177"/>
      <c r="B49" s="177"/>
      <c r="C49" s="177"/>
      <c r="D49" s="177"/>
      <c r="E49" s="177"/>
      <c r="F49" s="177"/>
      <c r="G49" s="177"/>
      <c r="H49" s="177"/>
      <c r="I49" s="177"/>
      <c r="J49" s="177"/>
      <c r="K49" s="177"/>
      <c r="L49" s="177"/>
      <c r="M49" s="177"/>
      <c r="N49" s="177"/>
    </row>
    <row r="50" spans="1:14" x14ac:dyDescent="0.25">
      <c r="A50" s="177"/>
      <c r="B50" s="177"/>
      <c r="C50" s="177"/>
      <c r="D50" s="177"/>
      <c r="E50" s="177"/>
      <c r="F50" s="177"/>
      <c r="G50" s="177"/>
      <c r="H50" s="177"/>
      <c r="I50" s="177"/>
      <c r="J50" s="177"/>
      <c r="K50" s="177"/>
      <c r="L50" s="177"/>
      <c r="M50" s="177"/>
      <c r="N50" s="177"/>
    </row>
    <row r="51" spans="1:14" x14ac:dyDescent="0.25">
      <c r="A51" s="177"/>
      <c r="B51" s="177"/>
      <c r="C51" s="177"/>
      <c r="D51" s="177"/>
      <c r="E51" s="177"/>
      <c r="F51" s="177"/>
      <c r="G51" s="177"/>
      <c r="H51" s="177"/>
      <c r="I51" s="177"/>
      <c r="J51" s="177"/>
      <c r="K51" s="177"/>
      <c r="L51" s="177"/>
      <c r="M51" s="177"/>
      <c r="N51" s="177"/>
    </row>
    <row r="52" spans="1:14" x14ac:dyDescent="0.25">
      <c r="A52" s="177"/>
      <c r="B52" s="177"/>
      <c r="C52" s="177"/>
      <c r="D52" s="177"/>
      <c r="E52" s="177"/>
      <c r="F52" s="177"/>
      <c r="G52" s="177"/>
      <c r="H52" s="177"/>
      <c r="I52" s="177"/>
      <c r="J52" s="177"/>
      <c r="K52" s="177"/>
      <c r="L52" s="177"/>
      <c r="M52" s="177"/>
      <c r="N52" s="177"/>
    </row>
    <row r="53" spans="1:14" x14ac:dyDescent="0.25">
      <c r="A53" s="177"/>
      <c r="B53" s="177"/>
      <c r="C53" s="177"/>
      <c r="D53" s="177"/>
      <c r="E53" s="177"/>
      <c r="F53" s="177"/>
      <c r="G53" s="177"/>
      <c r="H53" s="177"/>
      <c r="I53" s="177"/>
      <c r="J53" s="177"/>
      <c r="K53" s="177"/>
      <c r="L53" s="177"/>
      <c r="M53" s="177"/>
      <c r="N53" s="177"/>
    </row>
    <row r="54" spans="1:14" x14ac:dyDescent="0.25">
      <c r="A54" s="177"/>
      <c r="B54" s="177"/>
      <c r="C54" s="177"/>
      <c r="D54" s="177"/>
      <c r="E54" s="177"/>
      <c r="F54" s="177"/>
      <c r="G54" s="177"/>
      <c r="H54" s="177"/>
      <c r="I54" s="177"/>
      <c r="J54" s="177"/>
      <c r="K54" s="177"/>
      <c r="L54" s="177"/>
      <c r="M54" s="177"/>
      <c r="N54" s="177"/>
    </row>
    <row r="55" spans="1:14" x14ac:dyDescent="0.25">
      <c r="A55" s="177"/>
      <c r="B55" s="177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</row>
    <row r="56" spans="1:14" x14ac:dyDescent="0.25">
      <c r="A56" s="177"/>
      <c r="B56" s="177"/>
      <c r="C56" s="177"/>
      <c r="D56" s="177"/>
      <c r="E56" s="177"/>
      <c r="F56" s="177"/>
      <c r="G56" s="177"/>
      <c r="H56" s="177"/>
      <c r="I56" s="177"/>
      <c r="J56" s="177"/>
      <c r="K56" s="177"/>
      <c r="L56" s="177"/>
      <c r="M56" s="177"/>
      <c r="N56" s="177"/>
    </row>
    <row r="57" spans="1:14" x14ac:dyDescent="0.25">
      <c r="A57" s="177"/>
      <c r="B57" s="177"/>
      <c r="C57" s="177"/>
      <c r="D57" s="177"/>
      <c r="E57" s="177"/>
      <c r="F57" s="177"/>
      <c r="G57" s="177"/>
      <c r="H57" s="177"/>
      <c r="I57" s="177"/>
      <c r="J57" s="177"/>
      <c r="K57" s="177"/>
      <c r="L57" s="177"/>
      <c r="M57" s="177"/>
      <c r="N57" s="177"/>
    </row>
    <row r="58" spans="1:14" x14ac:dyDescent="0.25">
      <c r="A58" s="177"/>
      <c r="B58" s="177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</row>
    <row r="59" spans="1:14" x14ac:dyDescent="0.25">
      <c r="A59" s="177"/>
      <c r="B59" s="177"/>
      <c r="C59" s="177"/>
      <c r="D59" s="177"/>
      <c r="E59" s="177"/>
      <c r="F59" s="177"/>
      <c r="G59" s="177"/>
      <c r="H59" s="177"/>
      <c r="I59" s="177"/>
      <c r="J59" s="177"/>
      <c r="K59" s="177"/>
      <c r="L59" s="177"/>
      <c r="M59" s="177"/>
      <c r="N59" s="177"/>
    </row>
    <row r="60" spans="1:14" x14ac:dyDescent="0.25">
      <c r="A60" s="177"/>
      <c r="B60" s="177"/>
      <c r="C60" s="177"/>
      <c r="D60" s="177"/>
      <c r="E60" s="177"/>
      <c r="F60" s="177"/>
      <c r="G60" s="177"/>
      <c r="H60" s="177"/>
      <c r="I60" s="177"/>
      <c r="J60" s="177"/>
      <c r="K60" s="177"/>
      <c r="L60" s="177"/>
      <c r="M60" s="177"/>
      <c r="N60" s="177"/>
    </row>
    <row r="61" spans="1:14" x14ac:dyDescent="0.25">
      <c r="A61" s="177"/>
      <c r="B61" s="177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</row>
    <row r="62" spans="1:14" ht="16.5" customHeight="1" x14ac:dyDescent="0.3">
      <c r="A62" s="177"/>
      <c r="B62" s="177"/>
      <c r="C62" s="11"/>
      <c r="D62" s="177"/>
      <c r="E62" s="177"/>
      <c r="F62" s="177"/>
      <c r="G62" s="177"/>
      <c r="H62" s="177"/>
      <c r="I62" s="177"/>
      <c r="J62" s="177"/>
      <c r="K62" s="177"/>
      <c r="L62" s="177"/>
      <c r="M62" s="177"/>
      <c r="N62" s="177"/>
    </row>
    <row r="63" spans="1:14" ht="16.5" customHeight="1" x14ac:dyDescent="0.25">
      <c r="A63" s="177"/>
      <c r="B63" s="177"/>
      <c r="C63" s="223"/>
      <c r="D63" s="224"/>
      <c r="E63" s="177"/>
      <c r="F63" s="177"/>
      <c r="G63" s="177"/>
      <c r="H63" s="177"/>
      <c r="I63" s="177"/>
      <c r="J63" s="177"/>
      <c r="K63" s="177"/>
      <c r="L63" s="177"/>
      <c r="M63" s="177"/>
      <c r="N63" s="177"/>
    </row>
    <row r="64" spans="1:14" ht="15" customHeight="1" x14ac:dyDescent="0.25">
      <c r="A64" s="177"/>
      <c r="B64" s="177"/>
      <c r="C64" s="225"/>
      <c r="D64" s="177"/>
      <c r="E64" s="177"/>
      <c r="F64" s="177"/>
      <c r="G64" s="177"/>
      <c r="H64" s="177"/>
      <c r="I64" s="177"/>
      <c r="J64" s="177"/>
      <c r="K64" s="177"/>
      <c r="L64" s="177"/>
      <c r="M64" s="177"/>
      <c r="N64" s="177"/>
    </row>
    <row r="65" spans="1:14" ht="15" customHeight="1" x14ac:dyDescent="0.25">
      <c r="A65" s="177"/>
      <c r="B65" s="177"/>
      <c r="C65" s="177"/>
      <c r="D65" s="177"/>
      <c r="E65" s="177"/>
      <c r="F65" s="177"/>
      <c r="G65" s="177"/>
      <c r="H65" s="177"/>
      <c r="I65" s="177"/>
      <c r="J65" s="177"/>
      <c r="K65" s="177"/>
      <c r="L65" s="177"/>
      <c r="M65" s="177"/>
      <c r="N65" s="177"/>
    </row>
    <row r="66" spans="1:14" x14ac:dyDescent="0.25">
      <c r="A66" s="177"/>
      <c r="B66" s="177"/>
      <c r="C66" s="177"/>
      <c r="D66" s="177"/>
      <c r="E66" s="177"/>
      <c r="F66" s="177"/>
      <c r="G66" s="177"/>
      <c r="H66" s="177"/>
      <c r="I66" s="177"/>
      <c r="J66" s="177"/>
      <c r="K66" s="177"/>
      <c r="L66" s="177"/>
      <c r="M66" s="177"/>
      <c r="N66" s="177"/>
    </row>
    <row r="67" spans="1:14" x14ac:dyDescent="0.25">
      <c r="A67" s="177"/>
      <c r="B67" s="177"/>
      <c r="C67" s="177"/>
      <c r="D67" s="177"/>
      <c r="E67" s="177"/>
      <c r="F67" s="177"/>
      <c r="G67" s="177"/>
      <c r="H67" s="177"/>
      <c r="I67" s="177"/>
      <c r="J67" s="177"/>
      <c r="K67" s="177"/>
      <c r="L67" s="177"/>
      <c r="M67" s="177"/>
      <c r="N67" s="177"/>
    </row>
    <row r="68" spans="1:14" ht="15" customHeight="1" x14ac:dyDescent="0.25">
      <c r="A68" s="177"/>
      <c r="B68" s="177"/>
      <c r="C68" s="177"/>
      <c r="D68" s="177"/>
      <c r="E68" s="226"/>
      <c r="F68" s="226"/>
      <c r="G68" s="177"/>
      <c r="H68" s="177"/>
      <c r="I68" s="177"/>
      <c r="J68" s="177"/>
      <c r="K68" s="177"/>
      <c r="L68" s="177"/>
      <c r="M68" s="177"/>
      <c r="N68" s="177"/>
    </row>
    <row r="69" spans="1:14" ht="15" customHeight="1" x14ac:dyDescent="0.25">
      <c r="A69" s="177"/>
      <c r="B69" s="177"/>
      <c r="C69" s="177"/>
      <c r="D69" s="177"/>
      <c r="E69" s="177"/>
      <c r="F69" s="177"/>
      <c r="G69" s="177"/>
      <c r="H69" s="177"/>
      <c r="I69" s="177"/>
      <c r="J69" s="177"/>
      <c r="K69" s="177"/>
      <c r="L69" s="177"/>
      <c r="M69" s="177"/>
      <c r="N69" s="177"/>
    </row>
    <row r="70" spans="1:14" x14ac:dyDescent="0.25">
      <c r="A70" s="177"/>
      <c r="B70" s="177"/>
      <c r="C70" s="177"/>
      <c r="D70" s="177"/>
      <c r="E70" s="177"/>
      <c r="F70" s="177"/>
      <c r="G70" s="177"/>
      <c r="H70" s="177"/>
      <c r="I70" s="177"/>
      <c r="J70" s="177"/>
      <c r="K70" s="177"/>
      <c r="L70" s="177"/>
      <c r="M70" s="177"/>
      <c r="N70" s="177"/>
    </row>
    <row r="71" spans="1:14" ht="15" customHeight="1" x14ac:dyDescent="0.25">
      <c r="A71" s="177"/>
      <c r="B71" s="177"/>
      <c r="C71" s="177"/>
      <c r="D71" s="177"/>
      <c r="E71" s="177"/>
      <c r="F71" s="177"/>
      <c r="G71" s="177"/>
      <c r="H71" s="177"/>
      <c r="I71" s="177"/>
      <c r="J71" s="177"/>
      <c r="K71" s="177"/>
      <c r="L71" s="226"/>
      <c r="M71" s="177"/>
      <c r="N71" s="177"/>
    </row>
    <row r="72" spans="1:14" ht="15" customHeight="1" x14ac:dyDescent="0.25">
      <c r="A72" s="177"/>
      <c r="B72" s="177"/>
      <c r="C72" s="177"/>
      <c r="D72" s="177"/>
      <c r="E72" s="177"/>
      <c r="F72" s="177"/>
      <c r="G72" s="177"/>
      <c r="H72" s="177"/>
      <c r="I72" s="177"/>
      <c r="J72" s="177"/>
      <c r="K72" s="177"/>
      <c r="L72" s="177"/>
      <c r="M72" s="177"/>
      <c r="N72" s="177"/>
    </row>
    <row r="73" spans="1:14" x14ac:dyDescent="0.25">
      <c r="A73" s="177"/>
      <c r="B73" s="177"/>
      <c r="C73" s="177"/>
      <c r="D73" s="177"/>
      <c r="E73" s="177"/>
      <c r="F73" s="177"/>
      <c r="G73" s="177"/>
      <c r="H73" s="177"/>
      <c r="I73" s="177"/>
      <c r="J73" s="177"/>
      <c r="K73" s="177"/>
      <c r="L73" s="177"/>
      <c r="M73" s="177"/>
      <c r="N73" s="177"/>
    </row>
    <row r="74" spans="1:14" x14ac:dyDescent="0.25">
      <c r="A74" s="177"/>
      <c r="B74" s="177"/>
      <c r="C74" s="177"/>
      <c r="D74" s="177"/>
      <c r="E74" s="177"/>
      <c r="F74" s="177"/>
      <c r="G74" s="177"/>
      <c r="H74" s="177"/>
      <c r="I74" s="177"/>
      <c r="J74" s="177"/>
      <c r="K74" s="177"/>
      <c r="L74" s="177"/>
      <c r="M74" s="177"/>
      <c r="N74" s="177"/>
    </row>
    <row r="75" spans="1:14" x14ac:dyDescent="0.25">
      <c r="A75" s="177"/>
      <c r="B75" s="177"/>
      <c r="C75" s="177"/>
      <c r="D75" s="177"/>
      <c r="E75" s="177"/>
      <c r="F75" s="177"/>
      <c r="G75" s="177"/>
      <c r="H75" s="177"/>
      <c r="I75" s="177"/>
      <c r="J75" s="177"/>
      <c r="K75" s="177"/>
      <c r="L75" s="177"/>
      <c r="M75" s="177"/>
      <c r="N75" s="177"/>
    </row>
    <row r="76" spans="1:14" x14ac:dyDescent="0.25">
      <c r="A76" s="177"/>
      <c r="B76" s="177"/>
      <c r="C76" s="177"/>
      <c r="D76" s="177"/>
      <c r="E76" s="177"/>
      <c r="F76" s="177"/>
      <c r="G76" s="177"/>
      <c r="H76" s="177"/>
      <c r="I76" s="177"/>
      <c r="J76" s="177"/>
      <c r="K76" s="177"/>
      <c r="L76" s="177"/>
      <c r="M76" s="177"/>
      <c r="N76" s="177"/>
    </row>
    <row r="77" spans="1:14" ht="15" customHeight="1" x14ac:dyDescent="0.25">
      <c r="A77" s="177"/>
      <c r="B77" s="177"/>
      <c r="C77" s="177"/>
      <c r="D77" s="177"/>
      <c r="E77" s="177"/>
      <c r="F77" s="177"/>
      <c r="G77" s="227"/>
      <c r="H77" s="227"/>
      <c r="I77" s="227"/>
      <c r="J77" s="227"/>
      <c r="K77" s="227"/>
      <c r="L77" s="177"/>
      <c r="M77" s="177"/>
      <c r="N77" s="177"/>
    </row>
    <row r="78" spans="1:14" ht="15" customHeight="1" x14ac:dyDescent="0.25">
      <c r="A78" s="177"/>
      <c r="B78" s="177"/>
      <c r="C78" s="177"/>
      <c r="D78" s="177"/>
      <c r="E78" s="177"/>
      <c r="F78" s="177"/>
      <c r="G78" s="177"/>
      <c r="H78" s="177"/>
      <c r="I78" s="177"/>
      <c r="J78" s="177"/>
      <c r="K78" s="177"/>
      <c r="L78" s="177"/>
      <c r="M78" s="177"/>
      <c r="N78" s="177"/>
    </row>
    <row r="79" spans="1:14" ht="15" customHeight="1" x14ac:dyDescent="0.25">
      <c r="A79" s="227"/>
      <c r="B79" s="227"/>
      <c r="C79" s="227"/>
      <c r="D79" s="227"/>
      <c r="E79" s="177"/>
      <c r="F79" s="177"/>
      <c r="G79" s="177"/>
      <c r="H79" s="177"/>
      <c r="I79" s="177"/>
      <c r="J79" s="177"/>
      <c r="K79" s="177"/>
      <c r="L79" s="177"/>
      <c r="M79" s="177"/>
      <c r="N79" s="177"/>
    </row>
    <row r="80" spans="1:14" ht="15" customHeight="1" x14ac:dyDescent="0.25"/>
  </sheetData>
  <mergeCells count="30">
    <mergeCell ref="C31:D31"/>
    <mergeCell ref="A16:B16"/>
    <mergeCell ref="C16:D16"/>
    <mergeCell ref="A31:B31"/>
    <mergeCell ref="C17:D17"/>
    <mergeCell ref="C18:D18"/>
    <mergeCell ref="C19:D19"/>
    <mergeCell ref="C21:D21"/>
    <mergeCell ref="C22:D22"/>
    <mergeCell ref="C23:D23"/>
    <mergeCell ref="C24:D24"/>
    <mergeCell ref="C25:D25"/>
    <mergeCell ref="C27:D27"/>
    <mergeCell ref="A24:B24"/>
    <mergeCell ref="A25:B25"/>
    <mergeCell ref="A27:B27"/>
    <mergeCell ref="A2:N2"/>
    <mergeCell ref="A12:J12"/>
    <mergeCell ref="C28:D28"/>
    <mergeCell ref="C29:D29"/>
    <mergeCell ref="C30:D30"/>
    <mergeCell ref="A28:B28"/>
    <mergeCell ref="A29:B29"/>
    <mergeCell ref="A30:B30"/>
    <mergeCell ref="A17:B17"/>
    <mergeCell ref="A18:B18"/>
    <mergeCell ref="A19:B19"/>
    <mergeCell ref="A21:B21"/>
    <mergeCell ref="A22:B22"/>
    <mergeCell ref="A23:B23"/>
  </mergeCells>
  <conditionalFormatting sqref="A13:K13">
    <cfRule type="cellIs" dxfId="81" priority="4" operator="equal">
      <formula>"-"</formula>
    </cfRule>
    <cfRule type="cellIs" dxfId="80" priority="5" operator="lessThan">
      <formula>0</formula>
    </cfRule>
    <cfRule type="cellIs" dxfId="79" priority="6" operator="greaterThan">
      <formula>0</formula>
    </cfRule>
  </conditionalFormatting>
  <conditionalFormatting sqref="C5:C10 F5:F10 H5:H10 J5:J10 M5:N10 O13">
    <cfRule type="cellIs" dxfId="78" priority="1" operator="equal">
      <formula>"-"</formula>
    </cfRule>
    <cfRule type="cellIs" dxfId="77" priority="2" operator="lessThan">
      <formula>0</formula>
    </cfRule>
    <cfRule type="cellIs" dxfId="76" priority="3" operator="greaterThan">
      <formula>0</formula>
    </cfRule>
  </conditionalFormatting>
  <conditionalFormatting sqref="C5:C10">
    <cfRule type="containsText" dxfId="75" priority="35" operator="containsText" text="ON TRACK">
      <formula>NOT(ISERROR(SEARCH("ON TRACK",C5)))</formula>
    </cfRule>
    <cfRule type="containsText" dxfId="74" priority="36" operator="containsText" text="AT RISK">
      <formula>NOT(ISERROR(SEARCH("AT RISK",C5)))</formula>
    </cfRule>
    <cfRule type="containsText" dxfId="73" priority="37" operator="containsText" text="CRITICAL">
      <formula>NOT(ISERROR(SEARCH("CRITICAL",C5)))</formula>
    </cfRule>
  </conditionalFormatting>
  <conditionalFormatting sqref="E23">
    <cfRule type="cellIs" dxfId="72" priority="19" operator="equal">
      <formula>0</formula>
    </cfRule>
    <cfRule type="cellIs" dxfId="71" priority="20" operator="lessThan">
      <formula>0</formula>
    </cfRule>
    <cfRule type="cellIs" dxfId="70" priority="21" operator="greaterThan">
      <formula>0</formula>
    </cfRule>
  </conditionalFormatting>
  <conditionalFormatting sqref="E25">
    <cfRule type="cellIs" dxfId="69" priority="16" operator="equal">
      <formula>0</formula>
    </cfRule>
    <cfRule type="cellIs" dxfId="68" priority="17" operator="lessThan">
      <formula>0</formula>
    </cfRule>
    <cfRule type="cellIs" dxfId="67" priority="18" operator="greaterThan">
      <formula>0</formula>
    </cfRule>
  </conditionalFormatting>
  <conditionalFormatting sqref="F5:F10">
    <cfRule type="cellIs" dxfId="66" priority="23" operator="equal">
      <formula>0</formula>
    </cfRule>
    <cfRule type="cellIs" dxfId="65" priority="24" operator="lessThan">
      <formula>0</formula>
    </cfRule>
    <cfRule type="cellIs" dxfId="64" priority="25" operator="greaterThan">
      <formula>0</formula>
    </cfRule>
  </conditionalFormatting>
  <conditionalFormatting sqref="H5:H10">
    <cfRule type="containsText" dxfId="63" priority="32" operator="containsText" text="HEALTHY">
      <formula>NOT(ISERROR(SEARCH("HEALTHY",H5)))</formula>
    </cfRule>
    <cfRule type="containsText" dxfId="62" priority="33" operator="containsText" text="TIGHT">
      <formula>NOT(ISERROR(SEARCH("TIGHT",H5)))</formula>
    </cfRule>
    <cfRule type="containsText" dxfId="61" priority="34" operator="containsText" text="OVER RUN">
      <formula>NOT(ISERROR(SEARCH("OVER RUN",H5)))</formula>
    </cfRule>
  </conditionalFormatting>
  <conditionalFormatting sqref="J5:J10">
    <cfRule type="cellIs" dxfId="60" priority="29" operator="equal">
      <formula>0</formula>
    </cfRule>
    <cfRule type="cellIs" dxfId="59" priority="30" operator="greaterThan">
      <formula>0</formula>
    </cfRule>
    <cfRule type="cellIs" dxfId="58" priority="31" operator="lessThan">
      <formula>0</formula>
    </cfRule>
  </conditionalFormatting>
  <conditionalFormatting sqref="K15">
    <cfRule type="cellIs" dxfId="57" priority="38" operator="equal">
      <formula>"At Risk"</formula>
    </cfRule>
    <cfRule type="cellIs" dxfId="56" priority="39" operator="equal">
      <formula>"Delayed"</formula>
    </cfRule>
    <cfRule type="cellIs" dxfId="55" priority="40" operator="equal">
      <formula>"Early"</formula>
    </cfRule>
  </conditionalFormatting>
  <pageMargins left="0.23611111111111099" right="0.23611111111111099" top="0.74791666666666701" bottom="0.74791666666666701" header="0.511811023622047" footer="0.511811023622047"/>
  <pageSetup paperSize="9" orientation="landscape" horizontalDpi="300" verticalDpi="30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107"/>
  <sheetViews>
    <sheetView zoomScaleNormal="100" workbookViewId="0">
      <pane ySplit="2" topLeftCell="A3" activePane="bottomLeft" state="frozen"/>
      <selection pane="bottomLeft" activeCell="C147" sqref="C147"/>
    </sheetView>
  </sheetViews>
  <sheetFormatPr defaultColWidth="8.7109375" defaultRowHeight="15" x14ac:dyDescent="0.25"/>
  <cols>
    <col min="1" max="1" width="37.42578125" bestFit="1" customWidth="1"/>
    <col min="2" max="2" width="34.28515625" bestFit="1" customWidth="1"/>
    <col min="3" max="3" width="46.7109375" customWidth="1"/>
    <col min="4" max="4" width="21.5703125" bestFit="1" customWidth="1"/>
    <col min="5" max="5" width="23.42578125" customWidth="1"/>
    <col min="6" max="6" width="23" customWidth="1"/>
    <col min="7" max="7" width="20" customWidth="1"/>
    <col min="8" max="8" width="24" customWidth="1"/>
  </cols>
  <sheetData>
    <row r="1" spans="1:13" ht="27.75" customHeight="1" x14ac:dyDescent="0.25">
      <c r="A1" s="316" t="s">
        <v>96</v>
      </c>
      <c r="B1" s="317"/>
      <c r="C1" s="317"/>
      <c r="D1" s="317"/>
      <c r="E1" s="317"/>
      <c r="F1" s="317"/>
      <c r="G1" s="317"/>
      <c r="H1" s="318"/>
      <c r="I1" s="177"/>
      <c r="J1" s="177"/>
      <c r="K1" s="177"/>
      <c r="L1" s="177"/>
      <c r="M1" s="177"/>
    </row>
    <row r="2" spans="1:13" ht="13.5" customHeight="1" x14ac:dyDescent="0.25">
      <c r="A2" s="319" t="s">
        <v>97</v>
      </c>
      <c r="B2" s="320"/>
      <c r="C2" s="320"/>
      <c r="D2" s="320"/>
      <c r="E2" s="320"/>
      <c r="F2" s="320"/>
      <c r="G2" s="320"/>
      <c r="H2" s="320"/>
      <c r="I2" s="177"/>
      <c r="J2" s="177"/>
      <c r="K2" s="177"/>
      <c r="L2" s="177"/>
      <c r="M2" s="177"/>
    </row>
    <row r="3" spans="1:13" ht="7.5" customHeight="1" x14ac:dyDescent="0.25">
      <c r="A3" s="177"/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  <c r="M3" s="177"/>
    </row>
    <row r="4" spans="1:13" ht="21.75" customHeight="1" x14ac:dyDescent="0.25">
      <c r="A4" s="323" t="s">
        <v>98</v>
      </c>
      <c r="B4" s="317"/>
      <c r="C4" s="317"/>
      <c r="D4" s="317"/>
      <c r="E4" s="317"/>
      <c r="F4" s="317"/>
      <c r="G4" s="317"/>
      <c r="H4" s="318"/>
      <c r="I4" s="177"/>
      <c r="J4" s="177"/>
      <c r="K4" s="177"/>
      <c r="L4" s="177"/>
      <c r="M4" s="177"/>
    </row>
    <row r="5" spans="1:13" ht="15.75" customHeight="1" x14ac:dyDescent="0.25">
      <c r="A5" s="325" t="s">
        <v>99</v>
      </c>
      <c r="B5" s="317"/>
      <c r="C5" s="317"/>
      <c r="D5" s="317"/>
      <c r="E5" s="317"/>
      <c r="F5" s="317"/>
      <c r="G5" s="317"/>
      <c r="H5" s="318"/>
      <c r="I5" s="177"/>
      <c r="J5" s="177"/>
      <c r="K5" s="177"/>
      <c r="L5" s="177"/>
      <c r="M5" s="177"/>
    </row>
    <row r="6" spans="1:13" ht="15.75" customHeight="1" x14ac:dyDescent="0.25">
      <c r="A6" s="76" t="s">
        <v>2</v>
      </c>
      <c r="B6" s="76" t="s">
        <v>100</v>
      </c>
      <c r="C6" s="76" t="s">
        <v>101</v>
      </c>
      <c r="D6" s="76" t="s">
        <v>102</v>
      </c>
      <c r="E6" s="76" t="s">
        <v>103</v>
      </c>
      <c r="F6" s="76" t="s">
        <v>104</v>
      </c>
      <c r="G6" s="76" t="s">
        <v>105</v>
      </c>
      <c r="H6" s="76" t="s">
        <v>106</v>
      </c>
      <c r="I6" s="73"/>
      <c r="J6" s="73"/>
      <c r="K6" s="177"/>
      <c r="L6" s="177"/>
      <c r="M6" s="177"/>
    </row>
    <row r="7" spans="1:13" ht="15.75" customHeight="1" x14ac:dyDescent="0.25">
      <c r="A7" s="76" t="s">
        <v>118</v>
      </c>
      <c r="B7" s="76"/>
      <c r="C7" s="299">
        <v>711645.22</v>
      </c>
      <c r="D7" s="76"/>
      <c r="E7" s="76"/>
      <c r="F7" s="76"/>
      <c r="G7" s="76"/>
      <c r="H7" s="76"/>
      <c r="I7" s="298"/>
      <c r="J7" s="298"/>
      <c r="K7" s="177"/>
      <c r="L7" s="177"/>
      <c r="M7" s="177"/>
    </row>
    <row r="8" spans="1:13" ht="15.75" customHeight="1" x14ac:dyDescent="0.25">
      <c r="A8" s="76" t="s">
        <v>119</v>
      </c>
      <c r="B8" s="76"/>
      <c r="C8" s="299">
        <v>1242323.03</v>
      </c>
      <c r="D8" s="76"/>
      <c r="E8" s="76"/>
      <c r="F8" s="76"/>
      <c r="G8" s="76"/>
      <c r="H8" s="76"/>
      <c r="I8" s="298"/>
      <c r="J8" s="298"/>
      <c r="K8" s="177"/>
      <c r="L8" s="177"/>
      <c r="M8" s="177"/>
    </row>
    <row r="9" spans="1:13" ht="15.75" customHeight="1" x14ac:dyDescent="0.25">
      <c r="A9" s="76" t="s">
        <v>332</v>
      </c>
      <c r="B9" s="76"/>
      <c r="C9" s="299">
        <v>87752.5</v>
      </c>
      <c r="D9" s="76"/>
      <c r="E9" s="76"/>
      <c r="F9" s="76"/>
      <c r="G9" s="76"/>
      <c r="H9" s="76"/>
      <c r="I9" s="298"/>
      <c r="J9" s="298"/>
      <c r="K9" s="177"/>
      <c r="L9" s="177"/>
      <c r="M9" s="177"/>
    </row>
    <row r="10" spans="1:13" ht="15.75" customHeight="1" x14ac:dyDescent="0.25">
      <c r="A10" s="76" t="s">
        <v>121</v>
      </c>
      <c r="B10" s="76"/>
      <c r="C10" s="299">
        <v>450782.46</v>
      </c>
      <c r="D10" s="76"/>
      <c r="E10" s="76"/>
      <c r="F10" s="76"/>
      <c r="G10" s="76"/>
      <c r="H10" s="76"/>
      <c r="I10" s="298"/>
      <c r="J10" s="298"/>
      <c r="K10" s="177"/>
      <c r="L10" s="177"/>
      <c r="M10" s="177"/>
    </row>
    <row r="11" spans="1:13" ht="15.75" customHeight="1" x14ac:dyDescent="0.25">
      <c r="A11" s="76" t="s">
        <v>333</v>
      </c>
      <c r="B11" s="76"/>
      <c r="C11" s="299">
        <v>21400</v>
      </c>
      <c r="D11" s="76"/>
      <c r="E11" s="76"/>
      <c r="F11" s="76"/>
      <c r="G11" s="76"/>
      <c r="H11" s="76"/>
      <c r="I11" s="298"/>
      <c r="J11" s="298"/>
      <c r="K11" s="177"/>
      <c r="L11" s="177"/>
      <c r="M11" s="177"/>
    </row>
    <row r="12" spans="1:13" ht="15.75" customHeight="1" x14ac:dyDescent="0.25">
      <c r="A12" s="76" t="s">
        <v>318</v>
      </c>
      <c r="B12" s="76"/>
      <c r="C12" s="299">
        <v>198190.71</v>
      </c>
      <c r="D12" s="76"/>
      <c r="E12" s="76"/>
      <c r="F12" s="76"/>
      <c r="G12" s="76"/>
      <c r="H12" s="76"/>
      <c r="I12" s="298"/>
      <c r="J12" s="298"/>
      <c r="K12" s="177"/>
      <c r="L12" s="177"/>
      <c r="M12" s="177"/>
    </row>
    <row r="13" spans="1:13" ht="15.75" customHeight="1" x14ac:dyDescent="0.25">
      <c r="A13" s="77"/>
      <c r="B13" s="74" t="s">
        <v>107</v>
      </c>
      <c r="C13" s="98">
        <v>694797.04</v>
      </c>
      <c r="D13" s="162">
        <v>0.05</v>
      </c>
      <c r="E13" s="167">
        <f t="shared" ref="E13:E18" si="0">IF(B13="Architect",C13*D13,0)</f>
        <v>0</v>
      </c>
      <c r="F13" s="163">
        <v>0</v>
      </c>
      <c r="G13" s="91">
        <f t="shared" ref="G13:G18" si="1">IF(B13="Architect",E13-F13,0)</f>
        <v>0</v>
      </c>
      <c r="H13" s="164" t="s">
        <v>22</v>
      </c>
      <c r="I13" s="177"/>
      <c r="J13" s="177"/>
      <c r="K13" s="177"/>
      <c r="L13" s="177"/>
      <c r="M13" s="177"/>
    </row>
    <row r="14" spans="1:13" ht="15.75" customHeight="1" x14ac:dyDescent="0.25">
      <c r="A14" s="77"/>
      <c r="B14" s="165" t="s">
        <v>107</v>
      </c>
      <c r="C14" s="98">
        <v>1232405.3799999999</v>
      </c>
      <c r="D14" s="92">
        <v>0.05</v>
      </c>
      <c r="E14" s="167">
        <f t="shared" si="0"/>
        <v>0</v>
      </c>
      <c r="F14" s="166">
        <v>0</v>
      </c>
      <c r="G14" s="91">
        <f t="shared" si="1"/>
        <v>0</v>
      </c>
      <c r="H14" s="164" t="s">
        <v>22</v>
      </c>
      <c r="I14" s="177"/>
      <c r="J14" s="177"/>
      <c r="K14" s="177"/>
      <c r="L14" s="177"/>
      <c r="M14" s="177"/>
    </row>
    <row r="15" spans="1:13" ht="15.75" customHeight="1" x14ac:dyDescent="0.25">
      <c r="A15" s="77"/>
      <c r="B15" s="165" t="s">
        <v>107</v>
      </c>
      <c r="C15" s="98">
        <v>305495.5</v>
      </c>
      <c r="D15" s="92">
        <v>0.05</v>
      </c>
      <c r="E15" s="167">
        <f t="shared" si="0"/>
        <v>0</v>
      </c>
      <c r="F15" s="166">
        <v>0</v>
      </c>
      <c r="G15" s="91">
        <f t="shared" si="1"/>
        <v>0</v>
      </c>
      <c r="H15" s="164" t="s">
        <v>22</v>
      </c>
      <c r="I15" s="177"/>
      <c r="J15" s="177"/>
      <c r="K15" s="177"/>
      <c r="L15" s="177"/>
      <c r="M15" s="177"/>
    </row>
    <row r="16" spans="1:13" ht="15.75" customHeight="1" x14ac:dyDescent="0.25">
      <c r="A16" s="77"/>
      <c r="B16" s="165" t="s">
        <v>107</v>
      </c>
      <c r="C16" s="98">
        <v>443105.76</v>
      </c>
      <c r="D16" s="92">
        <v>0.05</v>
      </c>
      <c r="E16" s="167">
        <f t="shared" si="0"/>
        <v>0</v>
      </c>
      <c r="F16" s="166">
        <v>0</v>
      </c>
      <c r="G16" s="91">
        <f t="shared" si="1"/>
        <v>0</v>
      </c>
      <c r="H16" s="164" t="s">
        <v>22</v>
      </c>
      <c r="I16" s="177"/>
      <c r="J16" s="177"/>
      <c r="K16" s="177"/>
      <c r="L16" s="177"/>
      <c r="M16" s="177"/>
    </row>
    <row r="17" spans="1:13" ht="15.75" customHeight="1" x14ac:dyDescent="0.25">
      <c r="A17" s="77"/>
      <c r="B17" s="165" t="s">
        <v>107</v>
      </c>
      <c r="C17" s="98">
        <v>792500.99</v>
      </c>
      <c r="D17" s="92">
        <v>0.05</v>
      </c>
      <c r="E17" s="167">
        <f t="shared" si="0"/>
        <v>0</v>
      </c>
      <c r="F17" s="166">
        <v>0</v>
      </c>
      <c r="G17" s="91">
        <f t="shared" si="1"/>
        <v>0</v>
      </c>
      <c r="H17" s="164" t="s">
        <v>22</v>
      </c>
      <c r="I17" s="177"/>
      <c r="J17" s="177"/>
      <c r="K17" s="177"/>
      <c r="L17" s="177"/>
      <c r="M17" s="177"/>
    </row>
    <row r="18" spans="1:13" ht="18" customHeight="1" x14ac:dyDescent="0.25">
      <c r="A18" s="77"/>
      <c r="B18" s="165" t="s">
        <v>107</v>
      </c>
      <c r="C18" s="98">
        <v>24536.14</v>
      </c>
      <c r="D18" s="92">
        <v>0.05</v>
      </c>
      <c r="E18" s="167">
        <f t="shared" si="0"/>
        <v>0</v>
      </c>
      <c r="F18" s="166">
        <v>0</v>
      </c>
      <c r="G18" s="91">
        <f t="shared" si="1"/>
        <v>0</v>
      </c>
      <c r="H18" s="164" t="s">
        <v>22</v>
      </c>
      <c r="I18" s="177"/>
      <c r="J18" s="177"/>
      <c r="K18" s="177"/>
      <c r="L18" s="177"/>
      <c r="M18" s="177"/>
    </row>
    <row r="19" spans="1:13" ht="18" customHeight="1" x14ac:dyDescent="0.25">
      <c r="A19" s="78" t="s">
        <v>108</v>
      </c>
      <c r="B19" s="79"/>
      <c r="C19" s="88">
        <f>SUM(C13:C18)</f>
        <v>3492840.81</v>
      </c>
      <c r="D19" s="79"/>
      <c r="E19" s="88">
        <f>SUM(E13:E18)</f>
        <v>0</v>
      </c>
      <c r="F19" s="88">
        <f>SUM(F13:F18)</f>
        <v>0</v>
      </c>
      <c r="G19" s="88">
        <f>SUM(G13:G18)</f>
        <v>0</v>
      </c>
      <c r="H19" s="79"/>
      <c r="I19" s="177"/>
      <c r="J19" s="177"/>
      <c r="K19" s="177"/>
      <c r="L19" s="177"/>
      <c r="M19" s="177"/>
    </row>
    <row r="20" spans="1:13" x14ac:dyDescent="0.25">
      <c r="A20" s="324" t="s">
        <v>109</v>
      </c>
      <c r="B20" s="317"/>
      <c r="C20" s="317"/>
      <c r="D20" s="317"/>
      <c r="E20" s="317"/>
      <c r="F20" s="317"/>
      <c r="G20" s="317"/>
      <c r="H20" s="318"/>
      <c r="I20" s="177"/>
      <c r="J20" s="177"/>
      <c r="K20" s="177"/>
      <c r="L20" s="177"/>
      <c r="M20" s="177"/>
    </row>
    <row r="21" spans="1:13" x14ac:dyDescent="0.25">
      <c r="A21" s="132"/>
      <c r="B21" s="132"/>
      <c r="C21" s="132"/>
      <c r="D21" s="132"/>
      <c r="E21" s="132"/>
      <c r="F21" s="132"/>
      <c r="G21" s="132"/>
      <c r="H21" s="132"/>
      <c r="I21" s="177"/>
      <c r="J21" s="177"/>
      <c r="K21" s="177"/>
      <c r="L21" s="177"/>
      <c r="M21" s="177"/>
    </row>
    <row r="22" spans="1:13" ht="15.75" customHeight="1" x14ac:dyDescent="0.25">
      <c r="A22" s="323" t="s">
        <v>110</v>
      </c>
      <c r="B22" s="317"/>
      <c r="C22" s="317"/>
      <c r="D22" s="317"/>
      <c r="E22" s="317"/>
      <c r="F22" s="317"/>
      <c r="G22" s="317"/>
      <c r="H22" s="318"/>
      <c r="I22" s="177"/>
      <c r="J22" s="177"/>
      <c r="K22" s="177"/>
      <c r="L22" s="177"/>
      <c r="M22" s="177"/>
    </row>
    <row r="23" spans="1:13" ht="15.75" customHeight="1" x14ac:dyDescent="0.25">
      <c r="A23" s="325" t="s">
        <v>111</v>
      </c>
      <c r="B23" s="317"/>
      <c r="C23" s="317"/>
      <c r="D23" s="317"/>
      <c r="E23" s="317"/>
      <c r="F23" s="317"/>
      <c r="G23" s="317"/>
      <c r="H23" s="318"/>
      <c r="I23" s="177"/>
      <c r="J23" s="177"/>
      <c r="K23" s="177"/>
      <c r="L23" s="177"/>
      <c r="M23" s="177"/>
    </row>
    <row r="24" spans="1:13" ht="15.75" customHeight="1" x14ac:dyDescent="0.25">
      <c r="A24" s="76" t="s">
        <v>2</v>
      </c>
      <c r="B24" s="76" t="s">
        <v>101</v>
      </c>
      <c r="C24" s="76" t="s">
        <v>112</v>
      </c>
      <c r="D24" s="76" t="s">
        <v>113</v>
      </c>
      <c r="E24" s="76" t="s">
        <v>114</v>
      </c>
      <c r="F24" s="76" t="s">
        <v>115</v>
      </c>
      <c r="G24" s="76" t="s">
        <v>116</v>
      </c>
      <c r="H24" s="76" t="s">
        <v>117</v>
      </c>
      <c r="I24" s="177"/>
      <c r="J24" s="177"/>
      <c r="K24" s="177"/>
      <c r="L24" s="177"/>
      <c r="M24" s="177"/>
    </row>
    <row r="25" spans="1:13" ht="15.75" customHeight="1" x14ac:dyDescent="0.25">
      <c r="A25" s="77" t="s">
        <v>118</v>
      </c>
      <c r="B25" s="91"/>
      <c r="C25" s="300">
        <v>521765.87</v>
      </c>
      <c r="D25" s="168"/>
      <c r="E25" s="97"/>
      <c r="F25" s="93"/>
      <c r="G25" s="94"/>
      <c r="H25" s="80"/>
      <c r="I25" s="177"/>
      <c r="J25" s="177"/>
      <c r="K25" s="177"/>
      <c r="L25" s="177"/>
      <c r="M25" s="177"/>
    </row>
    <row r="26" spans="1:13" ht="15.75" customHeight="1" x14ac:dyDescent="0.25">
      <c r="A26" s="77" t="s">
        <v>119</v>
      </c>
      <c r="B26" s="91"/>
      <c r="C26" s="302">
        <v>583450.26</v>
      </c>
      <c r="D26" s="168"/>
      <c r="E26" s="99"/>
      <c r="F26" s="93"/>
      <c r="G26" s="94"/>
      <c r="H26" s="80"/>
      <c r="I26" s="177"/>
      <c r="J26" s="177"/>
      <c r="K26" s="177"/>
      <c r="L26" s="177"/>
      <c r="M26" s="177"/>
    </row>
    <row r="27" spans="1:13" ht="15.75" customHeight="1" x14ac:dyDescent="0.25">
      <c r="A27" s="77" t="s">
        <v>332</v>
      </c>
      <c r="B27" s="91"/>
      <c r="C27" s="302">
        <v>0</v>
      </c>
      <c r="D27" s="168"/>
      <c r="E27" s="99"/>
      <c r="F27" s="93"/>
      <c r="G27" s="94"/>
      <c r="H27" s="80"/>
      <c r="I27" s="177"/>
      <c r="J27" s="177"/>
      <c r="K27" s="177"/>
      <c r="L27" s="177"/>
      <c r="M27" s="177"/>
    </row>
    <row r="28" spans="1:13" ht="15.75" customHeight="1" x14ac:dyDescent="0.25">
      <c r="A28" s="77" t="s">
        <v>121</v>
      </c>
      <c r="B28" s="91"/>
      <c r="C28" s="302">
        <v>113780.94</v>
      </c>
      <c r="D28" s="168"/>
      <c r="E28" s="99"/>
      <c r="F28" s="93"/>
      <c r="G28" s="94"/>
      <c r="H28" s="80"/>
      <c r="I28" s="177"/>
      <c r="J28" s="177"/>
      <c r="K28" s="177"/>
      <c r="L28" s="177"/>
      <c r="M28" s="177"/>
    </row>
    <row r="29" spans="1:13" ht="15.75" customHeight="1" x14ac:dyDescent="0.25">
      <c r="A29" s="77" t="s">
        <v>333</v>
      </c>
      <c r="B29" s="91"/>
      <c r="C29" s="302">
        <v>1070</v>
      </c>
      <c r="D29" s="168"/>
      <c r="E29" s="99"/>
      <c r="F29" s="93"/>
      <c r="G29" s="94"/>
      <c r="H29" s="80"/>
      <c r="I29" s="177"/>
      <c r="J29" s="177"/>
      <c r="K29" s="177"/>
      <c r="L29" s="177"/>
      <c r="M29" s="177"/>
    </row>
    <row r="30" spans="1:13" ht="18" customHeight="1" x14ac:dyDescent="0.25">
      <c r="A30" s="77" t="s">
        <v>318</v>
      </c>
      <c r="B30" s="91"/>
      <c r="C30" s="302">
        <v>0</v>
      </c>
      <c r="D30" s="168"/>
      <c r="E30" s="99"/>
      <c r="F30" s="93"/>
      <c r="G30" s="94"/>
      <c r="H30" s="80"/>
      <c r="I30" s="177"/>
      <c r="J30" s="177"/>
      <c r="K30" s="177"/>
      <c r="L30" s="177"/>
      <c r="M30" s="177"/>
    </row>
    <row r="31" spans="1:13" x14ac:dyDescent="0.25">
      <c r="A31" s="78" t="s">
        <v>108</v>
      </c>
      <c r="B31" s="88">
        <f>SUM(B25:B30)</f>
        <v>0</v>
      </c>
      <c r="C31" s="88">
        <f>SUM(C25:C30)</f>
        <v>1220067.0699999998</v>
      </c>
      <c r="D31" s="88">
        <f>SUM(D25:D30)</f>
        <v>0</v>
      </c>
      <c r="E31" s="79"/>
      <c r="F31" s="79"/>
      <c r="G31" s="79"/>
      <c r="H31" s="79"/>
      <c r="I31" s="177"/>
      <c r="J31" s="177"/>
      <c r="K31" s="177"/>
      <c r="L31" s="177"/>
      <c r="M31" s="177"/>
    </row>
    <row r="32" spans="1:13" x14ac:dyDescent="0.25">
      <c r="A32" s="177"/>
      <c r="B32" s="177"/>
      <c r="C32" s="177"/>
      <c r="D32" s="177"/>
      <c r="E32" s="177"/>
      <c r="F32" s="177"/>
      <c r="G32" s="177"/>
      <c r="H32" s="177"/>
      <c r="I32" s="177"/>
      <c r="J32" s="177"/>
      <c r="K32" s="177"/>
      <c r="L32" s="177"/>
      <c r="M32" s="177"/>
    </row>
    <row r="33" spans="1:13" ht="15.75" customHeight="1" x14ac:dyDescent="0.25">
      <c r="A33" s="325" t="s">
        <v>123</v>
      </c>
      <c r="B33" s="317"/>
      <c r="C33" s="317"/>
      <c r="D33" s="317"/>
      <c r="E33" s="317"/>
      <c r="F33" s="317"/>
      <c r="G33" s="317"/>
      <c r="H33" s="318"/>
      <c r="I33" s="177"/>
      <c r="J33" s="177"/>
      <c r="K33" s="177"/>
      <c r="L33" s="177"/>
      <c r="M33" s="177"/>
    </row>
    <row r="34" spans="1:13" ht="15.75" customHeight="1" x14ac:dyDescent="0.25">
      <c r="A34" s="323" t="s">
        <v>124</v>
      </c>
      <c r="B34" s="317"/>
      <c r="C34" s="317"/>
      <c r="D34" s="317"/>
      <c r="E34" s="317"/>
      <c r="F34" s="317"/>
      <c r="G34" s="317"/>
      <c r="H34" s="318"/>
      <c r="I34" s="177"/>
      <c r="J34" s="177"/>
      <c r="K34" s="177"/>
      <c r="L34" s="177"/>
      <c r="M34" s="177"/>
    </row>
    <row r="35" spans="1:13" ht="30" customHeight="1" x14ac:dyDescent="0.25">
      <c r="A35" s="2" t="s">
        <v>2</v>
      </c>
      <c r="B35" s="2" t="s">
        <v>101</v>
      </c>
      <c r="C35" s="2" t="s">
        <v>125</v>
      </c>
      <c r="D35" s="2" t="s">
        <v>126</v>
      </c>
      <c r="E35" s="2" t="s">
        <v>127</v>
      </c>
      <c r="F35" s="81" t="s">
        <v>128</v>
      </c>
      <c r="G35" s="2" t="s">
        <v>116</v>
      </c>
      <c r="H35" s="2" t="s">
        <v>117</v>
      </c>
      <c r="I35" s="177"/>
      <c r="J35" s="177"/>
      <c r="K35" s="177"/>
      <c r="L35" s="177"/>
      <c r="M35" s="177"/>
    </row>
    <row r="36" spans="1:13" ht="15.75" customHeight="1" x14ac:dyDescent="0.25">
      <c r="A36" s="1" t="s">
        <v>118</v>
      </c>
      <c r="B36" s="91"/>
      <c r="C36" s="93"/>
      <c r="D36" s="169"/>
      <c r="E36" s="74"/>
      <c r="F36" s="96"/>
      <c r="G36" s="74"/>
      <c r="H36" s="228"/>
      <c r="I36" s="177"/>
      <c r="J36" s="177"/>
      <c r="K36" s="177"/>
      <c r="L36" s="177"/>
      <c r="M36" s="177"/>
    </row>
    <row r="37" spans="1:13" ht="15.75" customHeight="1" x14ac:dyDescent="0.25">
      <c r="A37" s="1" t="s">
        <v>118</v>
      </c>
      <c r="B37" s="91">
        <v>17139.509999999998</v>
      </c>
      <c r="C37" s="301">
        <v>23</v>
      </c>
      <c r="D37" s="169"/>
      <c r="E37" s="74"/>
      <c r="F37" s="96">
        <v>0</v>
      </c>
      <c r="G37" s="74" t="s">
        <v>320</v>
      </c>
      <c r="H37" s="228"/>
      <c r="I37" s="177"/>
      <c r="J37" s="177"/>
      <c r="K37" s="177"/>
      <c r="L37" s="177"/>
      <c r="M37" s="177"/>
    </row>
    <row r="38" spans="1:13" ht="15.75" customHeight="1" x14ac:dyDescent="0.25">
      <c r="A38" s="1" t="s">
        <v>119</v>
      </c>
      <c r="B38" s="91">
        <v>22499.649999999998</v>
      </c>
      <c r="C38" s="301">
        <v>24</v>
      </c>
      <c r="D38" s="169"/>
      <c r="E38" s="74"/>
      <c r="F38" s="96">
        <v>0</v>
      </c>
      <c r="G38" s="74" t="s">
        <v>320</v>
      </c>
      <c r="H38" s="228"/>
      <c r="I38" s="177"/>
      <c r="J38" s="177"/>
      <c r="K38" s="177"/>
      <c r="L38" s="177"/>
      <c r="M38" s="177"/>
    </row>
    <row r="39" spans="1:13" ht="15.75" customHeight="1" x14ac:dyDescent="0.25">
      <c r="A39" s="1" t="s">
        <v>332</v>
      </c>
      <c r="B39" s="91">
        <v>0</v>
      </c>
      <c r="C39" s="301">
        <v>0</v>
      </c>
      <c r="D39" s="169"/>
      <c r="E39" s="74"/>
      <c r="F39" s="96">
        <v>0</v>
      </c>
      <c r="G39" s="74" t="s">
        <v>320</v>
      </c>
      <c r="H39" s="228"/>
      <c r="I39" s="177"/>
      <c r="J39" s="177"/>
      <c r="K39" s="177"/>
      <c r="L39" s="177"/>
      <c r="M39" s="177"/>
    </row>
    <row r="40" spans="1:13" ht="18" customHeight="1" x14ac:dyDescent="0.25">
      <c r="A40" s="1" t="s">
        <v>121</v>
      </c>
      <c r="B40" s="91">
        <v>2948.6800000000003</v>
      </c>
      <c r="C40" s="301">
        <v>37</v>
      </c>
      <c r="D40" s="169"/>
      <c r="E40" s="74"/>
      <c r="F40" s="96">
        <v>0</v>
      </c>
      <c r="G40" s="74" t="s">
        <v>320</v>
      </c>
      <c r="H40" s="228"/>
      <c r="I40" s="177"/>
      <c r="J40" s="177"/>
      <c r="K40" s="177"/>
      <c r="L40" s="177"/>
      <c r="M40" s="177"/>
    </row>
    <row r="41" spans="1:13" ht="18" customHeight="1" x14ac:dyDescent="0.25">
      <c r="A41" s="1" t="s">
        <v>333</v>
      </c>
      <c r="B41" s="91">
        <v>0</v>
      </c>
      <c r="C41" s="301">
        <v>0</v>
      </c>
      <c r="D41" s="96"/>
      <c r="E41" s="74"/>
      <c r="F41" s="96">
        <v>0</v>
      </c>
      <c r="G41" s="74" t="s">
        <v>320</v>
      </c>
      <c r="H41" s="228"/>
      <c r="I41" s="177"/>
      <c r="J41" s="177"/>
      <c r="K41" s="177"/>
      <c r="L41" s="177"/>
      <c r="M41" s="177"/>
    </row>
    <row r="42" spans="1:13" x14ac:dyDescent="0.25">
      <c r="A42" s="1" t="s">
        <v>318</v>
      </c>
      <c r="B42" s="83">
        <v>2985.4</v>
      </c>
      <c r="C42" s="347">
        <v>6</v>
      </c>
      <c r="D42" s="89"/>
      <c r="E42" s="83"/>
      <c r="F42" s="90">
        <v>0</v>
      </c>
      <c r="G42" s="90" t="s">
        <v>320</v>
      </c>
      <c r="H42" s="75"/>
      <c r="I42" s="177"/>
      <c r="J42" s="177"/>
      <c r="K42" s="177"/>
      <c r="L42" s="177"/>
      <c r="M42" s="177"/>
    </row>
    <row r="43" spans="1:13" x14ac:dyDescent="0.25">
      <c r="A43" s="1" t="s">
        <v>108</v>
      </c>
      <c r="B43" s="83"/>
      <c r="C43" s="83"/>
      <c r="D43" s="89"/>
      <c r="E43" s="83" t="e">
        <f>SUM(#REF!)</f>
        <v>#REF!</v>
      </c>
      <c r="F43" s="90" t="e">
        <f>SUM(#REF!)</f>
        <v>#REF!</v>
      </c>
      <c r="G43" s="90" t="e">
        <f>SUM(#REF!)</f>
        <v>#REF!</v>
      </c>
      <c r="H43" s="75"/>
      <c r="I43" s="177"/>
      <c r="J43" s="177"/>
      <c r="K43" s="177"/>
      <c r="L43" s="177"/>
      <c r="M43" s="177"/>
    </row>
    <row r="44" spans="1:13" x14ac:dyDescent="0.25">
      <c r="A44" s="1"/>
      <c r="B44" s="83"/>
      <c r="C44" s="83"/>
      <c r="D44" s="89"/>
      <c r="E44" s="83"/>
      <c r="F44" s="90"/>
      <c r="G44" s="90"/>
      <c r="H44" s="75"/>
      <c r="I44" s="177"/>
      <c r="J44" s="177"/>
      <c r="K44" s="177"/>
      <c r="L44" s="177"/>
      <c r="M44" s="177"/>
    </row>
    <row r="45" spans="1:13" ht="15.75" customHeight="1" x14ac:dyDescent="0.25">
      <c r="A45" s="321" t="s">
        <v>164</v>
      </c>
      <c r="B45" s="317"/>
      <c r="C45" s="317"/>
      <c r="D45" s="317"/>
      <c r="E45" s="317"/>
      <c r="F45" s="317"/>
      <c r="G45" s="317"/>
      <c r="H45" s="318"/>
      <c r="I45" s="177"/>
      <c r="J45" s="177"/>
      <c r="K45" s="177"/>
      <c r="L45" s="177"/>
      <c r="M45" s="177"/>
    </row>
    <row r="46" spans="1:13" ht="15.75" customHeight="1" x14ac:dyDescent="0.25">
      <c r="A46" s="321" t="s">
        <v>165</v>
      </c>
      <c r="B46" s="317"/>
      <c r="C46" s="317"/>
      <c r="D46" s="317"/>
      <c r="E46" s="317"/>
      <c r="F46" s="317"/>
      <c r="G46" s="317"/>
      <c r="H46" s="318"/>
      <c r="I46" s="177"/>
      <c r="J46" s="177"/>
      <c r="K46" s="177"/>
      <c r="L46" s="177"/>
      <c r="M46" s="177"/>
    </row>
    <row r="47" spans="1:13" x14ac:dyDescent="0.25">
      <c r="A47" s="1" t="s">
        <v>2</v>
      </c>
      <c r="B47" s="83" t="s">
        <v>132</v>
      </c>
      <c r="C47" s="83" t="s">
        <v>133</v>
      </c>
      <c r="D47" s="89" t="s">
        <v>166</v>
      </c>
      <c r="E47" s="83" t="s">
        <v>116</v>
      </c>
      <c r="F47" s="90" t="s">
        <v>167</v>
      </c>
      <c r="G47" s="90" t="s">
        <v>168</v>
      </c>
      <c r="H47" s="75" t="s">
        <v>117</v>
      </c>
      <c r="I47" s="177"/>
      <c r="J47" s="177"/>
      <c r="K47" s="177"/>
      <c r="L47" s="177"/>
      <c r="M47" s="177"/>
    </row>
    <row r="48" spans="1:13" x14ac:dyDescent="0.25">
      <c r="A48" s="1" t="s">
        <v>120</v>
      </c>
      <c r="B48" s="83" t="s">
        <v>136</v>
      </c>
      <c r="C48" s="83" t="s">
        <v>137</v>
      </c>
      <c r="D48" s="89"/>
      <c r="E48" s="83">
        <v>220.95</v>
      </c>
      <c r="F48" s="90">
        <v>0</v>
      </c>
      <c r="G48" s="90">
        <v>220.95</v>
      </c>
      <c r="H48" s="75" t="s">
        <v>170</v>
      </c>
      <c r="I48" s="177"/>
      <c r="J48" s="177"/>
      <c r="K48" s="177"/>
      <c r="L48" s="177"/>
      <c r="M48" s="177"/>
    </row>
    <row r="49" spans="1:13" x14ac:dyDescent="0.25">
      <c r="A49" s="1" t="s">
        <v>119</v>
      </c>
      <c r="B49" s="83" t="s">
        <v>142</v>
      </c>
      <c r="C49" s="83" t="s">
        <v>143</v>
      </c>
      <c r="D49" s="89"/>
      <c r="E49" s="83">
        <v>350</v>
      </c>
      <c r="F49" s="90">
        <v>0</v>
      </c>
      <c r="G49" s="90">
        <v>350</v>
      </c>
      <c r="H49" s="75" t="s">
        <v>170</v>
      </c>
      <c r="I49" s="177"/>
      <c r="J49" s="177"/>
      <c r="K49" s="177"/>
      <c r="L49" s="177"/>
      <c r="M49" s="177"/>
    </row>
    <row r="50" spans="1:13" x14ac:dyDescent="0.25">
      <c r="A50" s="1" t="s">
        <v>318</v>
      </c>
      <c r="B50" s="83" t="s">
        <v>140</v>
      </c>
      <c r="C50" s="83" t="s">
        <v>330</v>
      </c>
      <c r="D50" s="89"/>
      <c r="E50" s="83">
        <v>5550</v>
      </c>
      <c r="F50" s="90">
        <v>0</v>
      </c>
      <c r="G50" s="90">
        <v>5550</v>
      </c>
      <c r="H50" s="75" t="s">
        <v>169</v>
      </c>
      <c r="I50" s="177"/>
      <c r="J50" s="177"/>
      <c r="K50" s="177"/>
      <c r="L50" s="177"/>
      <c r="M50" s="177"/>
    </row>
    <row r="51" spans="1:13" x14ac:dyDescent="0.25">
      <c r="A51" s="1" t="s">
        <v>318</v>
      </c>
      <c r="B51" s="83" t="s">
        <v>140</v>
      </c>
      <c r="C51" s="83" t="s">
        <v>329</v>
      </c>
      <c r="D51" s="89"/>
      <c r="E51" s="83">
        <v>9795</v>
      </c>
      <c r="F51" s="90">
        <v>0</v>
      </c>
      <c r="G51" s="90">
        <v>9795</v>
      </c>
      <c r="H51" s="75" t="s">
        <v>169</v>
      </c>
      <c r="I51" s="177"/>
      <c r="J51" s="177"/>
      <c r="K51" s="177"/>
      <c r="L51" s="177"/>
      <c r="M51" s="177"/>
    </row>
    <row r="52" spans="1:13" x14ac:dyDescent="0.25">
      <c r="A52" s="1" t="s">
        <v>118</v>
      </c>
      <c r="B52" s="83" t="s">
        <v>322</v>
      </c>
      <c r="C52" s="83" t="s">
        <v>323</v>
      </c>
      <c r="D52" s="89"/>
      <c r="E52" s="83">
        <v>2832.5</v>
      </c>
      <c r="F52" s="90">
        <v>0</v>
      </c>
      <c r="G52" s="90">
        <v>2832.5</v>
      </c>
      <c r="H52" s="75" t="s">
        <v>169</v>
      </c>
      <c r="I52" s="177"/>
      <c r="J52" s="177"/>
      <c r="K52" s="177"/>
      <c r="L52" s="177"/>
      <c r="M52" s="177"/>
    </row>
    <row r="53" spans="1:13" x14ac:dyDescent="0.25">
      <c r="A53" s="1" t="s">
        <v>118</v>
      </c>
      <c r="B53" s="83" t="s">
        <v>136</v>
      </c>
      <c r="C53" s="83" t="s">
        <v>137</v>
      </c>
      <c r="D53" s="89"/>
      <c r="E53" s="83">
        <v>1989.57</v>
      </c>
      <c r="F53" s="90">
        <v>0</v>
      </c>
      <c r="G53" s="90">
        <v>1989.57</v>
      </c>
      <c r="H53" s="75" t="s">
        <v>170</v>
      </c>
      <c r="I53" s="177"/>
      <c r="J53" s="177"/>
      <c r="K53" s="177"/>
      <c r="L53" s="177"/>
      <c r="M53" s="87"/>
    </row>
    <row r="54" spans="1:13" x14ac:dyDescent="0.25">
      <c r="A54" s="1" t="s">
        <v>118</v>
      </c>
      <c r="B54" s="83" t="s">
        <v>146</v>
      </c>
      <c r="C54" s="83" t="s">
        <v>321</v>
      </c>
      <c r="D54" s="89"/>
      <c r="E54" s="83">
        <v>231.41</v>
      </c>
      <c r="F54" s="90">
        <v>0</v>
      </c>
      <c r="G54" s="90">
        <v>231.41</v>
      </c>
      <c r="H54" s="75" t="s">
        <v>170</v>
      </c>
      <c r="I54" s="177"/>
      <c r="J54" s="177"/>
      <c r="K54" s="177"/>
      <c r="L54" s="177"/>
      <c r="M54" s="87"/>
    </row>
    <row r="55" spans="1:13" x14ac:dyDescent="0.25">
      <c r="A55" s="1" t="s">
        <v>318</v>
      </c>
      <c r="B55" s="83" t="s">
        <v>136</v>
      </c>
      <c r="C55" s="83" t="s">
        <v>137</v>
      </c>
      <c r="D55" s="89"/>
      <c r="E55" s="83">
        <v>2463.21</v>
      </c>
      <c r="F55" s="90">
        <v>0</v>
      </c>
      <c r="G55" s="90">
        <v>2463.21</v>
      </c>
      <c r="H55" s="75" t="s">
        <v>170</v>
      </c>
      <c r="I55" s="177"/>
      <c r="J55" s="177"/>
      <c r="K55" s="177"/>
      <c r="L55" s="177"/>
      <c r="M55" s="87"/>
    </row>
    <row r="56" spans="1:13" x14ac:dyDescent="0.25">
      <c r="A56" s="1" t="s">
        <v>119</v>
      </c>
      <c r="B56" s="83" t="s">
        <v>162</v>
      </c>
      <c r="C56" s="83" t="s">
        <v>324</v>
      </c>
      <c r="D56" s="89"/>
      <c r="E56" s="83">
        <v>910.15</v>
      </c>
      <c r="F56" s="90">
        <v>0</v>
      </c>
      <c r="G56" s="90">
        <v>910.15</v>
      </c>
      <c r="H56" s="75" t="s">
        <v>170</v>
      </c>
      <c r="I56" s="177"/>
      <c r="J56" s="177"/>
      <c r="K56" s="177"/>
      <c r="L56" s="177"/>
      <c r="M56" s="87"/>
    </row>
    <row r="57" spans="1:13" x14ac:dyDescent="0.25">
      <c r="A57" s="1" t="s">
        <v>318</v>
      </c>
      <c r="B57" s="83" t="s">
        <v>331</v>
      </c>
      <c r="C57" s="83" t="s">
        <v>326</v>
      </c>
      <c r="D57" s="89"/>
      <c r="E57" s="83">
        <v>10422.5</v>
      </c>
      <c r="F57" s="90">
        <v>0</v>
      </c>
      <c r="G57" s="90">
        <v>10422.5</v>
      </c>
      <c r="H57" s="75" t="s">
        <v>169</v>
      </c>
      <c r="I57" s="177"/>
      <c r="J57" s="177"/>
      <c r="K57" s="177"/>
      <c r="L57" s="177"/>
      <c r="M57" s="87"/>
    </row>
    <row r="58" spans="1:13" x14ac:dyDescent="0.25">
      <c r="A58" s="1" t="s">
        <v>318</v>
      </c>
      <c r="B58" s="83" t="s">
        <v>144</v>
      </c>
      <c r="C58" s="83" t="s">
        <v>145</v>
      </c>
      <c r="D58" s="89"/>
      <c r="E58" s="83">
        <v>5920</v>
      </c>
      <c r="F58" s="90">
        <v>0</v>
      </c>
      <c r="G58" s="90">
        <v>5920</v>
      </c>
      <c r="H58" s="75" t="s">
        <v>170</v>
      </c>
      <c r="I58" s="177"/>
      <c r="J58" s="177"/>
      <c r="K58" s="177"/>
      <c r="L58" s="177"/>
      <c r="M58" s="87"/>
    </row>
    <row r="59" spans="1:13" x14ac:dyDescent="0.25">
      <c r="A59" s="1" t="s">
        <v>318</v>
      </c>
      <c r="B59" s="83" t="s">
        <v>138</v>
      </c>
      <c r="C59" s="83" t="s">
        <v>139</v>
      </c>
      <c r="D59" s="89"/>
      <c r="E59" s="83">
        <v>7350</v>
      </c>
      <c r="F59" s="90">
        <v>0</v>
      </c>
      <c r="G59" s="90">
        <v>7350</v>
      </c>
      <c r="H59" s="75" t="s">
        <v>170</v>
      </c>
      <c r="I59" s="177"/>
      <c r="J59" s="177"/>
      <c r="K59" s="177"/>
      <c r="L59" s="177"/>
      <c r="M59" s="87"/>
    </row>
    <row r="60" spans="1:13" x14ac:dyDescent="0.25">
      <c r="A60" s="1" t="s">
        <v>318</v>
      </c>
      <c r="B60" s="83" t="s">
        <v>136</v>
      </c>
      <c r="C60" s="83" t="s">
        <v>137</v>
      </c>
      <c r="D60" s="89"/>
      <c r="E60" s="83">
        <v>18983.849999999999</v>
      </c>
      <c r="F60" s="90">
        <v>0</v>
      </c>
      <c r="G60" s="90">
        <v>18983.849999999999</v>
      </c>
      <c r="H60" s="75" t="s">
        <v>169</v>
      </c>
      <c r="I60" s="177"/>
      <c r="J60" s="177"/>
      <c r="K60" s="177"/>
      <c r="L60" s="177"/>
      <c r="M60" s="87"/>
    </row>
    <row r="61" spans="1:13" x14ac:dyDescent="0.25">
      <c r="A61" s="1" t="s">
        <v>318</v>
      </c>
      <c r="B61" s="83" t="s">
        <v>142</v>
      </c>
      <c r="C61" s="83" t="s">
        <v>143</v>
      </c>
      <c r="D61" s="89"/>
      <c r="E61" s="83">
        <v>17270</v>
      </c>
      <c r="F61" s="90">
        <v>0</v>
      </c>
      <c r="G61" s="90">
        <v>17270</v>
      </c>
      <c r="H61" s="75" t="s">
        <v>170</v>
      </c>
      <c r="I61" s="177"/>
      <c r="J61" s="177"/>
      <c r="K61" s="177"/>
      <c r="L61" s="177"/>
      <c r="M61" s="87"/>
    </row>
    <row r="62" spans="1:13" x14ac:dyDescent="0.25">
      <c r="A62" s="1" t="s">
        <v>318</v>
      </c>
      <c r="B62" s="83" t="s">
        <v>136</v>
      </c>
      <c r="C62" s="83" t="s">
        <v>137</v>
      </c>
      <c r="D62" s="89"/>
      <c r="E62" s="83">
        <v>821.76</v>
      </c>
      <c r="F62" s="90">
        <v>0</v>
      </c>
      <c r="G62" s="90">
        <v>821.76</v>
      </c>
      <c r="H62" s="75" t="s">
        <v>170</v>
      </c>
      <c r="I62" s="177"/>
      <c r="J62" s="177"/>
      <c r="K62" s="177"/>
      <c r="L62" s="177"/>
      <c r="M62" s="87"/>
    </row>
    <row r="63" spans="1:13" x14ac:dyDescent="0.25">
      <c r="A63" s="1" t="s">
        <v>318</v>
      </c>
      <c r="B63" s="83" t="s">
        <v>146</v>
      </c>
      <c r="C63" s="83" t="s">
        <v>321</v>
      </c>
      <c r="D63" s="89"/>
      <c r="E63" s="83">
        <v>4503.8900000000003</v>
      </c>
      <c r="F63" s="90">
        <v>0</v>
      </c>
      <c r="G63" s="90">
        <v>4503.8900000000003</v>
      </c>
      <c r="H63" s="75" t="s">
        <v>170</v>
      </c>
      <c r="I63" s="177"/>
      <c r="J63" s="177"/>
      <c r="K63" s="177"/>
      <c r="L63" s="177"/>
      <c r="M63" s="87"/>
    </row>
    <row r="64" spans="1:13" x14ac:dyDescent="0.25">
      <c r="A64" s="1" t="s">
        <v>119</v>
      </c>
      <c r="B64" s="83" t="s">
        <v>325</v>
      </c>
      <c r="C64" s="83" t="s">
        <v>326</v>
      </c>
      <c r="D64" s="89"/>
      <c r="E64" s="83">
        <v>43681</v>
      </c>
      <c r="F64" s="90">
        <v>0</v>
      </c>
      <c r="G64" s="90">
        <v>43681</v>
      </c>
      <c r="H64" s="75" t="s">
        <v>170</v>
      </c>
      <c r="I64" s="177"/>
      <c r="J64" s="177"/>
      <c r="K64" s="177"/>
      <c r="L64" s="177"/>
      <c r="M64" s="87"/>
    </row>
    <row r="65" spans="1:13" x14ac:dyDescent="0.25">
      <c r="A65" s="1" t="s">
        <v>121</v>
      </c>
      <c r="B65" s="83" t="s">
        <v>154</v>
      </c>
      <c r="C65" s="83" t="s">
        <v>155</v>
      </c>
      <c r="D65" s="89"/>
      <c r="E65" s="83">
        <v>8195</v>
      </c>
      <c r="F65" s="90">
        <v>0</v>
      </c>
      <c r="G65" s="90">
        <v>8195</v>
      </c>
      <c r="H65" s="75" t="s">
        <v>169</v>
      </c>
      <c r="I65" s="177"/>
      <c r="J65" s="177"/>
      <c r="K65" s="177"/>
      <c r="L65" s="177"/>
      <c r="M65" s="87"/>
    </row>
    <row r="66" spans="1:13" x14ac:dyDescent="0.25">
      <c r="A66" s="1" t="s">
        <v>122</v>
      </c>
      <c r="B66" s="83" t="s">
        <v>162</v>
      </c>
      <c r="C66" s="83" t="s">
        <v>163</v>
      </c>
      <c r="D66" s="89"/>
      <c r="E66" s="83">
        <v>970</v>
      </c>
      <c r="F66" s="90">
        <v>0</v>
      </c>
      <c r="G66" s="90">
        <v>970</v>
      </c>
      <c r="H66" s="75" t="s">
        <v>170</v>
      </c>
      <c r="I66" s="177"/>
      <c r="J66" s="177"/>
      <c r="K66" s="177"/>
      <c r="L66" s="177"/>
      <c r="M66" s="87"/>
    </row>
    <row r="67" spans="1:13" x14ac:dyDescent="0.25">
      <c r="A67" s="1" t="s">
        <v>119</v>
      </c>
      <c r="B67" s="83" t="s">
        <v>152</v>
      </c>
      <c r="C67" s="83" t="s">
        <v>153</v>
      </c>
      <c r="D67" s="89"/>
      <c r="E67" s="83">
        <v>15492.38</v>
      </c>
      <c r="F67" s="90">
        <v>0</v>
      </c>
      <c r="G67" s="90">
        <v>15492.38</v>
      </c>
      <c r="H67" s="75" t="s">
        <v>170</v>
      </c>
      <c r="I67" s="177"/>
      <c r="J67" s="177"/>
      <c r="K67" s="177"/>
      <c r="L67" s="177"/>
      <c r="M67" s="87"/>
    </row>
    <row r="68" spans="1:13" x14ac:dyDescent="0.25">
      <c r="A68" s="1" t="s">
        <v>119</v>
      </c>
      <c r="B68" s="83" t="s">
        <v>148</v>
      </c>
      <c r="C68" s="83" t="s">
        <v>149</v>
      </c>
      <c r="D68" s="89"/>
      <c r="E68" s="83">
        <v>124870</v>
      </c>
      <c r="F68" s="90">
        <v>0</v>
      </c>
      <c r="G68" s="90">
        <v>124870</v>
      </c>
      <c r="H68" s="75" t="s">
        <v>169</v>
      </c>
      <c r="I68" s="177"/>
      <c r="J68" s="177"/>
      <c r="K68" s="177"/>
      <c r="L68" s="177"/>
      <c r="M68" s="87"/>
    </row>
    <row r="69" spans="1:13" x14ac:dyDescent="0.25">
      <c r="A69" s="1" t="s">
        <v>119</v>
      </c>
      <c r="B69" s="83" t="s">
        <v>150</v>
      </c>
      <c r="C69" s="83" t="s">
        <v>151</v>
      </c>
      <c r="D69" s="89"/>
      <c r="E69" s="83">
        <v>11907.25</v>
      </c>
      <c r="F69" s="90">
        <v>0</v>
      </c>
      <c r="G69" s="90">
        <v>11907.25</v>
      </c>
      <c r="H69" s="75" t="s">
        <v>169</v>
      </c>
      <c r="I69" s="177"/>
      <c r="J69" s="177"/>
      <c r="K69" s="177"/>
      <c r="L69" s="177"/>
      <c r="M69" s="87"/>
    </row>
    <row r="70" spans="1:13" x14ac:dyDescent="0.25">
      <c r="A70" s="1" t="s">
        <v>122</v>
      </c>
      <c r="B70" s="83" t="s">
        <v>327</v>
      </c>
      <c r="C70" s="83" t="s">
        <v>328</v>
      </c>
      <c r="D70" s="89"/>
      <c r="E70" s="83">
        <v>0</v>
      </c>
      <c r="F70" s="90">
        <v>0</v>
      </c>
      <c r="G70" s="90">
        <v>0</v>
      </c>
      <c r="H70" s="75" t="s">
        <v>170</v>
      </c>
      <c r="I70" s="177"/>
      <c r="J70" s="177"/>
      <c r="K70" s="177"/>
      <c r="L70" s="177"/>
      <c r="M70" s="87"/>
    </row>
    <row r="71" spans="1:13" x14ac:dyDescent="0.25">
      <c r="A71" s="1" t="s">
        <v>122</v>
      </c>
      <c r="B71" s="83" t="s">
        <v>325</v>
      </c>
      <c r="C71" s="83" t="s">
        <v>326</v>
      </c>
      <c r="D71" s="89"/>
      <c r="E71" s="83">
        <v>0</v>
      </c>
      <c r="F71" s="90">
        <v>0</v>
      </c>
      <c r="G71" s="90">
        <v>0</v>
      </c>
      <c r="H71" s="75" t="s">
        <v>170</v>
      </c>
      <c r="I71" s="177"/>
      <c r="J71" s="177"/>
      <c r="K71" s="177"/>
      <c r="L71" s="177"/>
      <c r="M71" s="87"/>
    </row>
    <row r="72" spans="1:13" x14ac:dyDescent="0.25">
      <c r="A72" s="1" t="s">
        <v>118</v>
      </c>
      <c r="B72" s="83" t="s">
        <v>134</v>
      </c>
      <c r="C72" s="83" t="s">
        <v>135</v>
      </c>
      <c r="D72" s="89"/>
      <c r="E72" s="83">
        <v>5413</v>
      </c>
      <c r="F72" s="90">
        <v>0</v>
      </c>
      <c r="G72" s="90">
        <v>5413</v>
      </c>
      <c r="H72" s="75" t="s">
        <v>169</v>
      </c>
      <c r="I72" s="177"/>
      <c r="J72" s="177"/>
      <c r="K72" s="177"/>
      <c r="L72" s="177"/>
      <c r="M72" s="87"/>
    </row>
    <row r="73" spans="1:13" x14ac:dyDescent="0.25">
      <c r="A73" s="1" t="s">
        <v>121</v>
      </c>
      <c r="B73" s="83" t="s">
        <v>158</v>
      </c>
      <c r="C73" s="83" t="s">
        <v>159</v>
      </c>
      <c r="D73" s="89"/>
      <c r="E73" s="83">
        <v>4437</v>
      </c>
      <c r="F73" s="90">
        <v>0</v>
      </c>
      <c r="G73" s="90">
        <v>4437</v>
      </c>
      <c r="H73" s="75" t="s">
        <v>170</v>
      </c>
      <c r="I73" s="177"/>
      <c r="J73" s="177"/>
      <c r="K73" s="177"/>
      <c r="L73" s="177"/>
      <c r="M73" s="87"/>
    </row>
    <row r="74" spans="1:13" x14ac:dyDescent="0.25">
      <c r="A74" s="1" t="s">
        <v>121</v>
      </c>
      <c r="B74" s="83" t="s">
        <v>156</v>
      </c>
      <c r="C74" s="83" t="s">
        <v>157</v>
      </c>
      <c r="D74" s="89"/>
      <c r="E74" s="83">
        <v>18675</v>
      </c>
      <c r="F74" s="90">
        <v>0</v>
      </c>
      <c r="G74" s="90">
        <v>18675</v>
      </c>
      <c r="H74" s="75" t="s">
        <v>169</v>
      </c>
      <c r="I74" s="177"/>
      <c r="J74" s="177"/>
      <c r="K74" s="177"/>
      <c r="L74" s="177"/>
      <c r="M74" s="87"/>
    </row>
    <row r="75" spans="1:13" x14ac:dyDescent="0.25">
      <c r="A75" s="1" t="s">
        <v>120</v>
      </c>
      <c r="B75" s="83" t="s">
        <v>138</v>
      </c>
      <c r="C75" s="83" t="s">
        <v>139</v>
      </c>
      <c r="D75" s="89"/>
      <c r="E75" s="83">
        <v>3140</v>
      </c>
      <c r="F75" s="90">
        <v>0</v>
      </c>
      <c r="G75" s="90">
        <v>3140</v>
      </c>
      <c r="H75" s="75" t="s">
        <v>170</v>
      </c>
      <c r="I75" s="177"/>
      <c r="J75" s="177"/>
      <c r="K75" s="177"/>
      <c r="L75" s="177"/>
      <c r="M75" s="87"/>
    </row>
    <row r="76" spans="1:13" x14ac:dyDescent="0.25">
      <c r="A76" s="1" t="s">
        <v>120</v>
      </c>
      <c r="B76" s="83" t="s">
        <v>138</v>
      </c>
      <c r="C76" s="83" t="s">
        <v>139</v>
      </c>
      <c r="D76" s="89"/>
      <c r="E76" s="83">
        <v>2510</v>
      </c>
      <c r="F76" s="90">
        <v>0</v>
      </c>
      <c r="G76" s="90">
        <v>2510</v>
      </c>
      <c r="H76" s="75" t="s">
        <v>170</v>
      </c>
      <c r="I76" s="177"/>
      <c r="J76" s="177"/>
      <c r="K76" s="177"/>
      <c r="L76" s="177"/>
      <c r="M76" s="87"/>
    </row>
    <row r="77" spans="1:13" x14ac:dyDescent="0.25">
      <c r="A77" s="1" t="s">
        <v>120</v>
      </c>
      <c r="B77" s="83" t="s">
        <v>138</v>
      </c>
      <c r="C77" s="83" t="s">
        <v>139</v>
      </c>
      <c r="D77" s="89"/>
      <c r="E77" s="83">
        <v>1570</v>
      </c>
      <c r="F77" s="90">
        <v>0</v>
      </c>
      <c r="G77" s="90">
        <v>1570</v>
      </c>
      <c r="H77" s="75" t="s">
        <v>170</v>
      </c>
      <c r="I77" s="177"/>
      <c r="J77" s="177"/>
      <c r="K77" s="177"/>
      <c r="L77" s="177"/>
      <c r="M77" s="87"/>
    </row>
    <row r="78" spans="1:13" x14ac:dyDescent="0.25">
      <c r="A78" s="1" t="s">
        <v>118</v>
      </c>
      <c r="B78" s="83" t="s">
        <v>140</v>
      </c>
      <c r="C78" s="83" t="s">
        <v>141</v>
      </c>
      <c r="D78" s="89"/>
      <c r="E78" s="83">
        <v>13000</v>
      </c>
      <c r="F78" s="90">
        <v>0</v>
      </c>
      <c r="G78" s="90">
        <v>13000</v>
      </c>
      <c r="H78" s="75" t="s">
        <v>169</v>
      </c>
      <c r="I78" s="177"/>
      <c r="J78" s="177"/>
      <c r="K78" s="177"/>
      <c r="L78" s="177"/>
      <c r="M78" s="87"/>
    </row>
    <row r="79" spans="1:13" x14ac:dyDescent="0.25">
      <c r="A79" s="1" t="s">
        <v>121</v>
      </c>
      <c r="B79" s="83" t="s">
        <v>160</v>
      </c>
      <c r="C79" s="83" t="s">
        <v>161</v>
      </c>
      <c r="D79" s="89"/>
      <c r="E79" s="83">
        <v>1276</v>
      </c>
      <c r="F79" s="90">
        <v>0</v>
      </c>
      <c r="G79" s="90">
        <v>1276</v>
      </c>
      <c r="H79" s="75" t="s">
        <v>170</v>
      </c>
      <c r="I79" s="177"/>
      <c r="J79" s="177"/>
      <c r="K79" s="177"/>
      <c r="L79" s="177"/>
      <c r="M79" s="87"/>
    </row>
    <row r="80" spans="1:13" x14ac:dyDescent="0.25">
      <c r="A80" s="1" t="s">
        <v>118</v>
      </c>
      <c r="B80" s="83" t="s">
        <v>144</v>
      </c>
      <c r="C80" s="83" t="s">
        <v>145</v>
      </c>
      <c r="D80" s="89"/>
      <c r="E80" s="83">
        <v>26000</v>
      </c>
      <c r="F80" s="90">
        <v>0</v>
      </c>
      <c r="G80" s="90">
        <v>26000</v>
      </c>
      <c r="H80" s="75" t="s">
        <v>169</v>
      </c>
      <c r="I80" s="177"/>
      <c r="J80" s="177"/>
      <c r="K80" s="177"/>
      <c r="L80" s="177"/>
      <c r="M80" s="87"/>
    </row>
    <row r="81" spans="1:13" x14ac:dyDescent="0.25">
      <c r="A81" s="1" t="s">
        <v>118</v>
      </c>
      <c r="B81" s="83" t="s">
        <v>146</v>
      </c>
      <c r="C81" s="83" t="s">
        <v>147</v>
      </c>
      <c r="D81" s="89"/>
      <c r="E81" s="83">
        <v>5184.38</v>
      </c>
      <c r="F81" s="90">
        <v>0</v>
      </c>
      <c r="G81" s="90">
        <v>5184.38</v>
      </c>
      <c r="H81" s="75" t="s">
        <v>169</v>
      </c>
      <c r="I81" s="177"/>
      <c r="J81" s="177"/>
      <c r="K81" s="177"/>
      <c r="L81" s="177"/>
      <c r="M81" s="87"/>
    </row>
    <row r="82" spans="1:13" x14ac:dyDescent="0.25">
      <c r="A82" s="1" t="s">
        <v>118</v>
      </c>
      <c r="B82" s="83" t="s">
        <v>136</v>
      </c>
      <c r="C82" s="83" t="s">
        <v>137</v>
      </c>
      <c r="D82" s="89"/>
      <c r="E82" s="83">
        <v>936.9</v>
      </c>
      <c r="F82" s="90">
        <v>0</v>
      </c>
      <c r="G82" s="90">
        <v>936.9</v>
      </c>
      <c r="H82" s="75" t="s">
        <v>170</v>
      </c>
      <c r="I82" s="177"/>
      <c r="J82" s="177"/>
      <c r="K82" s="177"/>
      <c r="L82" s="177"/>
      <c r="M82" s="87"/>
    </row>
    <row r="83" spans="1:13" x14ac:dyDescent="0.25">
      <c r="A83" s="1"/>
      <c r="B83" s="83"/>
      <c r="C83" s="83"/>
      <c r="D83" s="89"/>
      <c r="E83" s="83"/>
      <c r="F83" s="90"/>
      <c r="G83" s="90"/>
      <c r="H83" s="75"/>
      <c r="I83" s="177"/>
      <c r="J83" s="177"/>
      <c r="K83" s="177"/>
      <c r="L83" s="177"/>
      <c r="M83" s="87"/>
    </row>
    <row r="84" spans="1:13" x14ac:dyDescent="0.25">
      <c r="A84" s="67"/>
      <c r="B84" s="2"/>
      <c r="C84" s="2"/>
      <c r="D84" s="2"/>
      <c r="E84" s="2"/>
      <c r="F84" s="133"/>
      <c r="G84" s="133"/>
      <c r="H84" s="95"/>
      <c r="I84" s="177"/>
      <c r="J84" s="177"/>
      <c r="K84" s="177"/>
      <c r="L84" s="177"/>
      <c r="M84" s="87"/>
    </row>
    <row r="85" spans="1:13" x14ac:dyDescent="0.25">
      <c r="A85" s="84"/>
      <c r="B85" s="85"/>
      <c r="C85" s="85"/>
      <c r="D85" s="86"/>
      <c r="E85" s="85"/>
      <c r="F85" s="85"/>
      <c r="G85" s="85"/>
      <c r="H85" s="85"/>
      <c r="I85" s="177"/>
      <c r="J85" s="177"/>
      <c r="K85" s="177"/>
      <c r="L85" s="177"/>
      <c r="M85" s="87"/>
    </row>
    <row r="86" spans="1:13" ht="15.75" customHeight="1" x14ac:dyDescent="0.25">
      <c r="A86" s="175"/>
      <c r="B86" s="210"/>
      <c r="C86" s="210"/>
      <c r="D86" s="210"/>
      <c r="E86" s="210"/>
      <c r="F86" s="210"/>
      <c r="G86" s="210"/>
      <c r="H86" s="211"/>
      <c r="I86" s="177"/>
      <c r="J86" s="177"/>
      <c r="K86" s="177"/>
      <c r="L86" s="177"/>
      <c r="M86" s="87"/>
    </row>
    <row r="87" spans="1:13" x14ac:dyDescent="0.25">
      <c r="A87" s="2"/>
      <c r="B87" s="2"/>
      <c r="C87" s="2"/>
      <c r="D87" s="2"/>
      <c r="E87" s="2"/>
      <c r="F87" s="2"/>
      <c r="G87" s="2"/>
      <c r="H87" s="2"/>
      <c r="I87" s="177"/>
      <c r="J87" s="177"/>
      <c r="K87" s="177"/>
      <c r="L87" s="177"/>
      <c r="M87" s="87"/>
    </row>
    <row r="88" spans="1:13" x14ac:dyDescent="0.25">
      <c r="A88" s="68"/>
      <c r="B88" s="69"/>
      <c r="C88" s="71"/>
      <c r="D88" s="70"/>
      <c r="E88" s="69"/>
      <c r="F88" s="69"/>
      <c r="G88" s="69"/>
      <c r="H88" s="69"/>
      <c r="I88" s="177"/>
      <c r="J88" s="177"/>
      <c r="K88" s="177"/>
      <c r="L88" s="177"/>
      <c r="M88" s="87"/>
    </row>
    <row r="89" spans="1:13" x14ac:dyDescent="0.25">
      <c r="A89" s="68"/>
      <c r="B89" s="134"/>
      <c r="C89" s="135"/>
      <c r="D89" s="82"/>
      <c r="E89" s="134"/>
      <c r="F89" s="134"/>
      <c r="G89" s="134"/>
      <c r="H89" s="134"/>
      <c r="I89" s="177"/>
      <c r="J89" s="177"/>
      <c r="K89" s="177"/>
      <c r="L89" s="177"/>
      <c r="M89" s="87"/>
    </row>
    <row r="90" spans="1:13" x14ac:dyDescent="0.25">
      <c r="A90" s="68"/>
      <c r="B90" s="134"/>
      <c r="C90" s="135"/>
      <c r="D90" s="82"/>
      <c r="E90" s="134"/>
      <c r="F90" s="134"/>
      <c r="G90" s="134"/>
      <c r="H90" s="134"/>
      <c r="I90" s="177"/>
      <c r="J90" s="177"/>
      <c r="K90" s="177"/>
      <c r="L90" s="177"/>
      <c r="M90" s="87"/>
    </row>
    <row r="91" spans="1:13" x14ac:dyDescent="0.25">
      <c r="A91" s="68"/>
      <c r="B91" s="134"/>
      <c r="C91" s="135"/>
      <c r="D91" s="82"/>
      <c r="E91" s="134"/>
      <c r="F91" s="134"/>
      <c r="G91" s="134"/>
      <c r="H91" s="134"/>
      <c r="I91" s="177"/>
      <c r="J91" s="177"/>
      <c r="K91" s="177"/>
      <c r="L91" s="177"/>
      <c r="M91" s="87"/>
    </row>
    <row r="92" spans="1:13" x14ac:dyDescent="0.25">
      <c r="A92" s="68" t="s">
        <v>171</v>
      </c>
      <c r="B92" s="134"/>
      <c r="C92" s="135"/>
      <c r="D92" s="82"/>
      <c r="E92" s="134"/>
      <c r="F92" s="134">
        <f>SUM(F48:F91)</f>
        <v>0</v>
      </c>
      <c r="G92" s="134">
        <f>SUM(G48:G91)</f>
        <v>376872.7</v>
      </c>
      <c r="H92" s="134">
        <f>F92-G92</f>
        <v>-376872.7</v>
      </c>
      <c r="I92" s="177"/>
      <c r="J92" s="177"/>
      <c r="K92" s="177"/>
      <c r="L92" s="177"/>
      <c r="M92" s="87"/>
    </row>
    <row r="93" spans="1:13" x14ac:dyDescent="0.25">
      <c r="A93" s="68"/>
      <c r="B93" s="134"/>
      <c r="C93" s="135"/>
      <c r="D93" s="82"/>
      <c r="E93" s="134"/>
      <c r="F93" s="134"/>
      <c r="G93" s="134"/>
      <c r="H93" s="134"/>
      <c r="I93" s="177"/>
      <c r="J93" s="177"/>
      <c r="K93" s="177"/>
      <c r="L93" s="177"/>
      <c r="M93" s="87"/>
    </row>
    <row r="94" spans="1:13" ht="15.75" customHeight="1" x14ac:dyDescent="0.25">
      <c r="A94" s="322" t="s">
        <v>172</v>
      </c>
      <c r="B94" s="317"/>
      <c r="C94" s="317"/>
      <c r="D94" s="317"/>
      <c r="E94" s="317"/>
      <c r="F94" s="317"/>
      <c r="G94" s="317"/>
      <c r="H94" s="318"/>
      <c r="I94" s="177"/>
      <c r="J94" s="177"/>
      <c r="K94" s="177"/>
      <c r="L94" s="177"/>
      <c r="M94" s="87"/>
    </row>
    <row r="95" spans="1:13" x14ac:dyDescent="0.25">
      <c r="A95" s="68" t="s">
        <v>2</v>
      </c>
      <c r="B95" s="134" t="s">
        <v>173</v>
      </c>
      <c r="C95" s="135" t="s">
        <v>174</v>
      </c>
      <c r="D95" s="82" t="s">
        <v>175</v>
      </c>
      <c r="E95" s="134" t="s">
        <v>116</v>
      </c>
      <c r="F95" s="134" t="s">
        <v>176</v>
      </c>
      <c r="G95" s="134" t="s">
        <v>177</v>
      </c>
      <c r="H95" s="134" t="s">
        <v>117</v>
      </c>
      <c r="I95" s="177"/>
      <c r="J95" s="177"/>
      <c r="K95" s="177"/>
      <c r="L95" s="177"/>
      <c r="M95" s="87"/>
    </row>
    <row r="96" spans="1:13" x14ac:dyDescent="0.25">
      <c r="A96" s="68"/>
      <c r="B96" s="134"/>
      <c r="C96" s="135"/>
      <c r="D96" s="82"/>
      <c r="E96" s="134"/>
      <c r="F96" s="134"/>
      <c r="G96" s="134"/>
      <c r="H96" s="134"/>
      <c r="I96" s="177"/>
      <c r="J96" s="177"/>
      <c r="K96" s="177"/>
      <c r="L96" s="177"/>
      <c r="M96" s="87"/>
    </row>
    <row r="97" spans="1:13" x14ac:dyDescent="0.25">
      <c r="A97" s="68"/>
      <c r="B97" s="134"/>
      <c r="C97" s="135"/>
      <c r="D97" s="82"/>
      <c r="E97" s="134"/>
      <c r="F97" s="134"/>
      <c r="G97" s="134"/>
      <c r="H97" s="134"/>
      <c r="I97" s="177"/>
      <c r="J97" s="177"/>
      <c r="K97" s="177"/>
      <c r="L97" s="177"/>
      <c r="M97" s="87"/>
    </row>
    <row r="98" spans="1:13" x14ac:dyDescent="0.25">
      <c r="A98" s="67"/>
      <c r="B98" s="2"/>
      <c r="C98" s="2"/>
      <c r="D98" s="133"/>
      <c r="E98" s="2"/>
      <c r="F98" s="2"/>
      <c r="G98" s="2"/>
      <c r="H98" s="2"/>
      <c r="I98" s="177"/>
      <c r="J98" s="177"/>
      <c r="K98" s="177"/>
      <c r="L98" s="177"/>
      <c r="M98" s="87"/>
    </row>
    <row r="99" spans="1:13" x14ac:dyDescent="0.25">
      <c r="A99" s="177"/>
      <c r="B99" s="177"/>
      <c r="C99" s="177"/>
      <c r="D99" s="177"/>
      <c r="E99" s="177"/>
      <c r="F99" s="177"/>
      <c r="G99" s="177"/>
      <c r="H99" s="177"/>
      <c r="I99" s="177"/>
      <c r="J99" s="177"/>
      <c r="K99" s="177"/>
      <c r="L99" s="177"/>
      <c r="M99" s="87"/>
    </row>
    <row r="100" spans="1:13" x14ac:dyDescent="0.25">
      <c r="A100" s="68"/>
      <c r="B100" s="134"/>
      <c r="C100" s="135"/>
      <c r="D100" s="82">
        <f>SUM(D90:D99)</f>
        <v>0</v>
      </c>
      <c r="E100" s="134"/>
      <c r="F100" s="134"/>
      <c r="G100" s="134"/>
      <c r="H100" s="134"/>
      <c r="M100" s="87"/>
    </row>
    <row r="101" spans="1:13" x14ac:dyDescent="0.25">
      <c r="A101" s="68"/>
      <c r="B101" s="134"/>
      <c r="C101" s="135"/>
      <c r="D101" s="82"/>
      <c r="E101" s="134"/>
      <c r="F101" s="134"/>
      <c r="G101" s="134"/>
      <c r="H101" s="134"/>
      <c r="M101" s="87"/>
    </row>
    <row r="102" spans="1:13" x14ac:dyDescent="0.25">
      <c r="A102" s="68"/>
      <c r="B102" s="134"/>
      <c r="C102" s="135"/>
      <c r="D102" s="82"/>
      <c r="E102" s="134"/>
      <c r="F102" s="134"/>
      <c r="G102" s="134"/>
      <c r="H102" s="134"/>
      <c r="M102" s="87"/>
    </row>
    <row r="103" spans="1:13" x14ac:dyDescent="0.25">
      <c r="A103" s="68"/>
      <c r="B103" s="134"/>
      <c r="C103" s="135"/>
      <c r="D103" s="82"/>
      <c r="E103" s="134"/>
      <c r="F103" s="134"/>
      <c r="G103" s="134"/>
      <c r="H103" s="134"/>
      <c r="M103" s="87"/>
    </row>
    <row r="104" spans="1:13" x14ac:dyDescent="0.25">
      <c r="A104" s="68"/>
      <c r="B104" s="134"/>
      <c r="C104" s="135"/>
      <c r="D104" s="82"/>
      <c r="E104" s="134"/>
      <c r="F104" s="134"/>
      <c r="G104" s="134"/>
      <c r="H104" s="134"/>
      <c r="M104" s="87"/>
    </row>
    <row r="105" spans="1:13" x14ac:dyDescent="0.25">
      <c r="A105" s="68"/>
      <c r="B105" s="134"/>
      <c r="C105" s="135"/>
      <c r="D105" s="82"/>
      <c r="E105" s="134"/>
      <c r="F105" s="134"/>
      <c r="G105" s="134"/>
      <c r="H105" s="134"/>
      <c r="M105" s="87"/>
    </row>
    <row r="106" spans="1:13" x14ac:dyDescent="0.25">
      <c r="A106" s="67" t="s">
        <v>178</v>
      </c>
      <c r="B106" s="2"/>
      <c r="C106" s="2"/>
      <c r="D106" s="133">
        <f>SUM(D96:D105)</f>
        <v>0</v>
      </c>
      <c r="E106" s="2"/>
      <c r="F106" s="2"/>
      <c r="G106" s="2"/>
      <c r="H106" s="2"/>
      <c r="M106" s="87"/>
    </row>
    <row r="107" spans="1:13" x14ac:dyDescent="0.25">
      <c r="M107" s="87"/>
    </row>
  </sheetData>
  <mergeCells count="12">
    <mergeCell ref="A1:H1"/>
    <mergeCell ref="A2:H2"/>
    <mergeCell ref="A46:H46"/>
    <mergeCell ref="A94:H94"/>
    <mergeCell ref="A45:H45"/>
    <mergeCell ref="A4:H4"/>
    <mergeCell ref="A22:H22"/>
    <mergeCell ref="A34:H34"/>
    <mergeCell ref="A20:H20"/>
    <mergeCell ref="A5:H5"/>
    <mergeCell ref="A33:H33"/>
    <mergeCell ref="A23:H23"/>
  </mergeCells>
  <dataValidations disablePrompts="1" count="1">
    <dataValidation type="list" showInputMessage="1" showErrorMessage="1" sqref="B13:B18" xr:uid="{00000000-0002-0000-0200-000000000000}">
      <formula1>"Standard,Architect"</formula1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11"/>
  <sheetViews>
    <sheetView zoomScaleNormal="100" workbookViewId="0">
      <selection activeCell="E3" sqref="E3"/>
    </sheetView>
  </sheetViews>
  <sheetFormatPr defaultColWidth="8.7109375" defaultRowHeight="15" x14ac:dyDescent="0.25"/>
  <cols>
    <col min="1" max="1" width="19.5703125" style="4" customWidth="1"/>
    <col min="2" max="2" width="18.85546875" customWidth="1"/>
    <col min="3" max="4" width="14.28515625" customWidth="1"/>
    <col min="5" max="5" width="15.7109375" customWidth="1"/>
    <col min="6" max="6" width="18.5703125" customWidth="1"/>
    <col min="7" max="7" width="12.5703125" bestFit="1" customWidth="1"/>
  </cols>
  <sheetData>
    <row r="1" spans="1:7" ht="15" customHeight="1" x14ac:dyDescent="0.25">
      <c r="A1" s="4" t="str">
        <f>Deep_Dive!A19</f>
        <v>11-15 Station St</v>
      </c>
      <c r="B1" s="229">
        <f>'Other Metrics'!C13</f>
        <v>694797.04</v>
      </c>
      <c r="C1" s="230">
        <v>45971</v>
      </c>
      <c r="D1" s="231">
        <f t="shared" ref="D1:D6" ca="1" si="0">TODAY()-C1+1</f>
        <v>186</v>
      </c>
      <c r="E1" s="229">
        <v>393549.27</v>
      </c>
      <c r="F1" s="229">
        <f>'Other Metrics'!C25</f>
        <v>521765.87</v>
      </c>
      <c r="G1" s="229"/>
    </row>
    <row r="2" spans="1:7" ht="15" customHeight="1" x14ac:dyDescent="0.25">
      <c r="A2" s="4" t="str">
        <f>Deep_Dive!A20</f>
        <v>17 Glydon Ave</v>
      </c>
      <c r="B2" s="229">
        <f>'Other Metrics'!C14</f>
        <v>1232405.3799999999</v>
      </c>
      <c r="C2" s="230">
        <v>45975</v>
      </c>
      <c r="D2" s="231">
        <f t="shared" ca="1" si="0"/>
        <v>182</v>
      </c>
      <c r="E2" s="229">
        <v>412498.44</v>
      </c>
      <c r="F2" s="229">
        <f>'Other Metrics'!C26</f>
        <v>583450.26</v>
      </c>
      <c r="G2" s="229"/>
    </row>
    <row r="3" spans="1:7" ht="15" customHeight="1" x14ac:dyDescent="0.25">
      <c r="A3" s="4" t="str">
        <f>Deep_Dive!A21</f>
        <v>29 River Gum Close</v>
      </c>
      <c r="B3" s="229">
        <f>'Other Metrics'!C15</f>
        <v>305495.5</v>
      </c>
      <c r="C3" s="230">
        <v>46069</v>
      </c>
      <c r="D3" s="231">
        <f t="shared" ca="1" si="0"/>
        <v>88</v>
      </c>
      <c r="E3" s="229">
        <v>133859.6</v>
      </c>
      <c r="F3" s="229">
        <f>'Other Metrics'!C27</f>
        <v>0</v>
      </c>
      <c r="G3" s="229"/>
    </row>
    <row r="4" spans="1:7" ht="15" customHeight="1" x14ac:dyDescent="0.25">
      <c r="A4" s="4" t="str">
        <f>Deep_Dive!A22</f>
        <v>30 Connelly</v>
      </c>
      <c r="B4" s="229">
        <f>'Other Metrics'!C16</f>
        <v>443105.76</v>
      </c>
      <c r="C4" s="230">
        <v>46038</v>
      </c>
      <c r="D4" s="231">
        <f t="shared" ca="1" si="0"/>
        <v>119</v>
      </c>
      <c r="E4" s="229">
        <v>129831.13</v>
      </c>
      <c r="F4" s="229">
        <f>'Other Metrics'!C28</f>
        <v>113780.94</v>
      </c>
      <c r="G4" s="229"/>
    </row>
    <row r="5" spans="1:7" ht="15" customHeight="1" x14ac:dyDescent="0.25">
      <c r="A5" s="4" t="str">
        <f>Deep_Dive!A23</f>
        <v>37 Robinson Street</v>
      </c>
      <c r="B5" s="229">
        <f>'Other Metrics'!C17</f>
        <v>792500.99</v>
      </c>
      <c r="C5" s="230">
        <v>45852</v>
      </c>
      <c r="D5" s="231">
        <f t="shared" ca="1" si="0"/>
        <v>305</v>
      </c>
      <c r="E5" s="229">
        <v>632848.24</v>
      </c>
      <c r="F5" s="229">
        <f>'Other Metrics'!C29</f>
        <v>1070</v>
      </c>
      <c r="G5" s="229"/>
    </row>
    <row r="6" spans="1:7" ht="15" customHeight="1" x14ac:dyDescent="0.25">
      <c r="A6" s="4" t="str">
        <f>Deep_Dive!A13</f>
        <v xml:space="preserve">801 MHBR </v>
      </c>
      <c r="B6" s="229">
        <f>'Other Metrics'!C18</f>
        <v>24536.14</v>
      </c>
      <c r="C6" s="230">
        <v>46091</v>
      </c>
      <c r="D6" s="231">
        <f t="shared" ca="1" si="0"/>
        <v>66</v>
      </c>
      <c r="E6" s="229">
        <v>9321.9699999999993</v>
      </c>
      <c r="F6" s="229">
        <f>'Other Metrics'!C30</f>
        <v>0</v>
      </c>
      <c r="G6" s="229"/>
    </row>
    <row r="7" spans="1:7" ht="15" customHeight="1" x14ac:dyDescent="0.25">
      <c r="A7" s="78" t="s">
        <v>108</v>
      </c>
      <c r="B7" s="161">
        <f>SUM(B1:B6)</f>
        <v>3492840.81</v>
      </c>
      <c r="C7" s="161"/>
      <c r="D7" s="161"/>
      <c r="E7" s="161">
        <f>SUM(E1:E6)</f>
        <v>1711908.65</v>
      </c>
      <c r="F7" s="161">
        <f>SUM(F1:F6)</f>
        <v>1220067.0699999998</v>
      </c>
      <c r="G7" s="177"/>
    </row>
    <row r="8" spans="1:7" ht="15" customHeight="1" x14ac:dyDescent="0.25">
      <c r="A8" s="177"/>
      <c r="B8" s="158" t="s">
        <v>179</v>
      </c>
      <c r="C8" s="158" t="s">
        <v>180</v>
      </c>
      <c r="D8" s="158" t="s">
        <v>181</v>
      </c>
      <c r="E8" s="158" t="s">
        <v>182</v>
      </c>
      <c r="F8" s="158" t="s">
        <v>183</v>
      </c>
      <c r="G8" s="177"/>
    </row>
    <row r="9" spans="1:7" ht="15" customHeight="1" x14ac:dyDescent="0.25">
      <c r="A9" s="177"/>
      <c r="B9" s="229"/>
      <c r="C9" s="177"/>
      <c r="D9" s="177"/>
      <c r="E9" s="177"/>
      <c r="F9" s="159" t="s">
        <v>184</v>
      </c>
      <c r="G9" s="177"/>
    </row>
    <row r="10" spans="1:7" ht="15" customHeight="1" x14ac:dyDescent="0.25">
      <c r="A10" s="177"/>
      <c r="B10" s="229"/>
      <c r="C10" s="177"/>
      <c r="D10" s="177"/>
      <c r="E10" s="177"/>
      <c r="F10" s="160"/>
      <c r="G10" s="177"/>
    </row>
    <row r="11" spans="1:7" ht="15" customHeight="1" x14ac:dyDescent="0.25">
      <c r="A11" s="177"/>
      <c r="B11" s="229"/>
      <c r="C11" s="177"/>
      <c r="D11" s="177"/>
      <c r="E11" s="177"/>
      <c r="F11" s="177"/>
      <c r="G11" s="177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M31"/>
  <sheetViews>
    <sheetView topLeftCell="A5" zoomScaleNormal="100" workbookViewId="0">
      <selection activeCell="B21" sqref="B21:C21"/>
    </sheetView>
  </sheetViews>
  <sheetFormatPr defaultColWidth="8.7109375" defaultRowHeight="15" x14ac:dyDescent="0.25"/>
  <cols>
    <col min="1" max="1" width="19.140625" customWidth="1"/>
    <col min="2" max="2" width="28.42578125" customWidth="1"/>
    <col min="3" max="3" width="26" customWidth="1"/>
    <col min="4" max="4" width="28.7109375" style="9" customWidth="1"/>
    <col min="5" max="5" width="29.85546875" customWidth="1"/>
    <col min="6" max="6" width="18.5703125" customWidth="1"/>
    <col min="7" max="7" width="24.85546875" customWidth="1"/>
    <col min="8" max="8" width="30.42578125" customWidth="1"/>
    <col min="9" max="9" width="18" customWidth="1"/>
    <col min="10" max="10" width="19.5703125" customWidth="1"/>
    <col min="11" max="11" width="12.5703125" customWidth="1"/>
    <col min="12" max="12" width="12.42578125" customWidth="1"/>
    <col min="13" max="13" width="19.140625" customWidth="1"/>
  </cols>
  <sheetData>
    <row r="1" spans="1:13" ht="9.75" customHeight="1" x14ac:dyDescent="0.25">
      <c r="A1" s="326" t="s">
        <v>185</v>
      </c>
      <c r="B1" s="327"/>
      <c r="C1" s="327"/>
      <c r="D1" s="327"/>
      <c r="E1" s="327"/>
      <c r="F1" s="327"/>
      <c r="G1" s="327"/>
      <c r="H1" s="327"/>
      <c r="I1" s="328"/>
      <c r="J1" s="12"/>
      <c r="K1" s="177"/>
      <c r="L1" s="177"/>
      <c r="M1" s="177"/>
    </row>
    <row r="2" spans="1:13" ht="9.75" customHeight="1" x14ac:dyDescent="0.25">
      <c r="A2" s="329"/>
      <c r="B2" s="320"/>
      <c r="C2" s="320"/>
      <c r="D2" s="330"/>
      <c r="E2" s="320"/>
      <c r="F2" s="320"/>
      <c r="G2" s="320"/>
      <c r="H2" s="320"/>
      <c r="I2" s="331"/>
      <c r="J2" s="12"/>
      <c r="K2" s="177"/>
      <c r="L2" s="177"/>
      <c r="M2" s="177"/>
    </row>
    <row r="3" spans="1:13" ht="9.75" customHeight="1" x14ac:dyDescent="0.25">
      <c r="A3" s="332"/>
      <c r="B3" s="333"/>
      <c r="C3" s="333"/>
      <c r="D3" s="333"/>
      <c r="E3" s="333"/>
      <c r="F3" s="333"/>
      <c r="G3" s="333"/>
      <c r="H3" s="333"/>
      <c r="I3" s="334"/>
      <c r="J3" s="12"/>
      <c r="K3" s="177"/>
      <c r="L3" s="177"/>
      <c r="M3" s="177"/>
    </row>
    <row r="4" spans="1:13" ht="15.75" customHeight="1" x14ac:dyDescent="0.25">
      <c r="A4" s="142" t="s">
        <v>0</v>
      </c>
      <c r="B4" s="141">
        <f ca="1">TODAY()</f>
        <v>46156</v>
      </c>
      <c r="C4" s="177"/>
      <c r="D4" s="177"/>
      <c r="E4" s="177"/>
      <c r="F4" s="177"/>
      <c r="G4" s="177"/>
      <c r="H4" s="177"/>
      <c r="I4" s="177"/>
      <c r="J4" s="177" t="s">
        <v>186</v>
      </c>
      <c r="K4" s="177"/>
      <c r="L4" s="177"/>
      <c r="M4" s="177"/>
    </row>
    <row r="5" spans="1:13" ht="15.75" customHeight="1" x14ac:dyDescent="0.25">
      <c r="A5" s="13"/>
      <c r="B5" s="14"/>
      <c r="C5" s="177"/>
      <c r="D5" s="177"/>
      <c r="E5" s="177"/>
      <c r="F5" s="177"/>
      <c r="G5" s="177"/>
      <c r="H5" s="177"/>
      <c r="I5" s="177"/>
      <c r="J5" s="177"/>
      <c r="K5" s="177"/>
      <c r="L5" s="177"/>
      <c r="M5" s="177"/>
    </row>
    <row r="6" spans="1:13" ht="15" customHeight="1" x14ac:dyDescent="0.25">
      <c r="A6" s="335" t="s">
        <v>187</v>
      </c>
      <c r="B6" s="317"/>
      <c r="C6" s="317"/>
      <c r="D6" s="317"/>
      <c r="E6" s="317"/>
      <c r="F6" s="317"/>
      <c r="G6" s="317"/>
      <c r="H6" s="318"/>
      <c r="I6" s="3"/>
      <c r="J6" s="177" t="s">
        <v>188</v>
      </c>
      <c r="K6" s="177" t="s">
        <v>31</v>
      </c>
      <c r="L6" s="177" t="s">
        <v>36</v>
      </c>
      <c r="M6" s="177" t="s">
        <v>26</v>
      </c>
    </row>
    <row r="7" spans="1:13" ht="47.25" customHeight="1" x14ac:dyDescent="0.25">
      <c r="A7" s="100" t="s">
        <v>189</v>
      </c>
      <c r="B7" s="101" t="s">
        <v>190</v>
      </c>
      <c r="C7" s="101" t="s">
        <v>191</v>
      </c>
      <c r="D7" s="101" t="s">
        <v>192</v>
      </c>
      <c r="E7" s="101" t="s">
        <v>193</v>
      </c>
      <c r="F7" s="101" t="s">
        <v>194</v>
      </c>
      <c r="G7" s="101" t="s">
        <v>314</v>
      </c>
      <c r="H7" s="101" t="s">
        <v>195</v>
      </c>
      <c r="I7" s="100" t="s">
        <v>196</v>
      </c>
      <c r="J7" s="177" t="str">
        <f t="shared" ref="J7:J12" si="0">A8</f>
        <v>11-15 Station St</v>
      </c>
      <c r="K7" s="229">
        <f>'Public Holidays'!D22*Deep_Dive!C19</f>
        <v>410960.40466019418</v>
      </c>
      <c r="L7" s="229">
        <f ca="1">'Public Holidays'!E22*Deep_Dive!C19</f>
        <v>445516.89769585256</v>
      </c>
      <c r="M7" s="229">
        <f t="shared" ref="M7:M12" ca="1" si="1">K7-L7</f>
        <v>-34556.493035658379</v>
      </c>
    </row>
    <row r="8" spans="1:13" ht="15" customHeight="1" x14ac:dyDescent="0.25">
      <c r="A8" s="105" t="s">
        <v>118</v>
      </c>
      <c r="B8" s="106">
        <v>46288</v>
      </c>
      <c r="C8" s="106">
        <v>46188</v>
      </c>
      <c r="D8" s="107">
        <f>NETWORKDAYS(B8,C8, 'Public Holidays'!A1:A13)</f>
        <v>-73</v>
      </c>
      <c r="E8" s="108">
        <v>23</v>
      </c>
      <c r="F8" s="106">
        <f t="shared" ref="F8:F13" si="2">E8+C8</f>
        <v>46211</v>
      </c>
      <c r="G8" s="109">
        <f>NETWORKDAYS(B8,F8, 'Public Holidays'!A1:A13)</f>
        <v>-56</v>
      </c>
      <c r="H8" s="110" t="s">
        <v>319</v>
      </c>
      <c r="I8" s="111">
        <f ca="1">Budgets_Solo!J3</f>
        <v>14810.994032258064</v>
      </c>
      <c r="J8" s="177" t="str">
        <f t="shared" si="0"/>
        <v>17 Glydon Ave</v>
      </c>
      <c r="K8" s="229">
        <f>'Public Holidays'!D23*Deep_Dive!C20</f>
        <v>728110.15455621306</v>
      </c>
      <c r="L8" s="229">
        <f ca="1">'Public Holidays'!E23*Deep_Dive!C20</f>
        <v>534437.81536977494</v>
      </c>
      <c r="M8" s="229">
        <f t="shared" ca="1" si="1"/>
        <v>193672.33918643813</v>
      </c>
    </row>
    <row r="9" spans="1:13" ht="15" customHeight="1" x14ac:dyDescent="0.25">
      <c r="A9" s="112" t="s">
        <v>119</v>
      </c>
      <c r="B9" s="113">
        <v>46310</v>
      </c>
      <c r="C9" s="113">
        <v>46286</v>
      </c>
      <c r="D9" s="114">
        <f>NETWORKDAYS(B9,C9, 'Public Holidays'!A1:A13)</f>
        <v>-18</v>
      </c>
      <c r="E9" s="115">
        <v>24</v>
      </c>
      <c r="F9" s="113">
        <f t="shared" si="2"/>
        <v>46310</v>
      </c>
      <c r="G9" s="116">
        <f>NETWORKDAYS(B9,F9, 'Public Holidays'!A1:A13)</f>
        <v>1</v>
      </c>
      <c r="H9" s="117" t="s">
        <v>319</v>
      </c>
      <c r="I9" s="118">
        <f ca="1">Budgets_Solo!J4</f>
        <v>15865.324615384616</v>
      </c>
      <c r="J9" s="177" t="str">
        <f t="shared" si="0"/>
        <v>29 River Gum Close</v>
      </c>
      <c r="K9" s="229">
        <f>'Public Holidays'!D24*Deep_Dive!C21</f>
        <v>0</v>
      </c>
      <c r="L9" s="229">
        <f ca="1">'Public Holidays'!E24*Deep_Dive!C21</f>
        <v>94482.045789473676</v>
      </c>
      <c r="M9" s="229">
        <f t="shared" ca="1" si="1"/>
        <v>-94482.045789473676</v>
      </c>
    </row>
    <row r="10" spans="1:13" ht="15" customHeight="1" x14ac:dyDescent="0.25">
      <c r="A10" s="105" t="s">
        <v>120</v>
      </c>
      <c r="B10" s="106">
        <v>46230</v>
      </c>
      <c r="C10" s="106">
        <v>46278</v>
      </c>
      <c r="D10" s="107">
        <f>NETWORKDAYS(B10,C10, 'Public Holidays'!A1:A13)</f>
        <v>35</v>
      </c>
      <c r="E10" s="108">
        <v>0</v>
      </c>
      <c r="F10" s="106">
        <f t="shared" si="2"/>
        <v>46278</v>
      </c>
      <c r="G10" s="109">
        <f>NETWORKDAYS(B10,F10, 'Public Holidays'!A1:A13)</f>
        <v>35</v>
      </c>
      <c r="H10" s="119" t="s">
        <v>334</v>
      </c>
      <c r="I10" s="111">
        <f ca="1">Budgets_Solo!J5</f>
        <v>10647.922727272728</v>
      </c>
      <c r="J10" s="177" t="str">
        <f t="shared" si="0"/>
        <v>30 Connelly</v>
      </c>
      <c r="K10" s="229">
        <f>'Public Holidays'!D25*Deep_Dive!C22</f>
        <v>236586.76692307691</v>
      </c>
      <c r="L10" s="229">
        <f ca="1">'Public Holidays'!E25*Deep_Dive!C22</f>
        <v>172923.93113043479</v>
      </c>
      <c r="M10" s="229">
        <f t="shared" ca="1" si="1"/>
        <v>63662.835792642116</v>
      </c>
    </row>
    <row r="11" spans="1:13" ht="15" customHeight="1" x14ac:dyDescent="0.25">
      <c r="A11" s="112" t="s">
        <v>121</v>
      </c>
      <c r="B11" s="113">
        <v>46283</v>
      </c>
      <c r="C11" s="113">
        <v>46268</v>
      </c>
      <c r="D11" s="114">
        <f>NETWORKDAYS(B11,C11, 'Public Holidays'!A1:A13)</f>
        <v>-12</v>
      </c>
      <c r="E11" s="115">
        <v>37</v>
      </c>
      <c r="F11" s="113">
        <f t="shared" si="2"/>
        <v>46305</v>
      </c>
      <c r="G11" s="116">
        <f>NETWORKDAYS(B11,F11, 'Public Holidays'!A1:A13)</f>
        <v>15</v>
      </c>
      <c r="H11" s="117" t="s">
        <v>319</v>
      </c>
      <c r="I11" s="118">
        <f ca="1">Budgets_Solo!J6</f>
        <v>7637.1252941176481</v>
      </c>
      <c r="J11" s="177" t="str">
        <f t="shared" si="0"/>
        <v>37 Robinson Street</v>
      </c>
      <c r="K11" s="229">
        <f>'Public Holidays'!D26*Deep_Dive!C23</f>
        <v>521143.1393207548</v>
      </c>
      <c r="L11" s="229">
        <f ca="1">'Public Holidays'!E26*Deep_Dive!C23</f>
        <v>814766.56</v>
      </c>
      <c r="M11" s="229">
        <f t="shared" ca="1" si="1"/>
        <v>-293623.42067924526</v>
      </c>
    </row>
    <row r="12" spans="1:13" ht="15" customHeight="1" x14ac:dyDescent="0.25">
      <c r="A12" s="105" t="s">
        <v>122</v>
      </c>
      <c r="B12" s="106">
        <v>46143</v>
      </c>
      <c r="C12" s="106">
        <v>46080</v>
      </c>
      <c r="D12" s="107">
        <f>NETWORKDAYS(B12,C12, 'Public Holidays'!A1:A13)</f>
        <v>-43</v>
      </c>
      <c r="E12" s="108">
        <v>0</v>
      </c>
      <c r="F12" s="106">
        <f t="shared" si="2"/>
        <v>46080</v>
      </c>
      <c r="G12" s="109">
        <f>NETWORKDAYS(B12,F12, 'Public Holidays'!A1:A13)</f>
        <v>-43</v>
      </c>
      <c r="H12" s="119" t="s">
        <v>319</v>
      </c>
      <c r="I12" s="111">
        <f ca="1">Budgets_Solo!J7</f>
        <v>14524.385836065572</v>
      </c>
      <c r="J12" s="177" t="str">
        <f t="shared" si="0"/>
        <v xml:space="preserve">801 MHBR </v>
      </c>
      <c r="K12" s="229">
        <f>'Public Holidays'!D27*Deep_Dive!C24</f>
        <v>17560</v>
      </c>
      <c r="L12" s="229">
        <f ca="1">'Public Holidays'!E27*Deep_Dive!C24</f>
        <v>22577.142857142859</v>
      </c>
      <c r="M12" s="229">
        <f t="shared" ca="1" si="1"/>
        <v>-5017.1428571428587</v>
      </c>
    </row>
    <row r="13" spans="1:13" ht="15" customHeight="1" x14ac:dyDescent="0.25">
      <c r="A13" s="112" t="s">
        <v>315</v>
      </c>
      <c r="B13" s="113">
        <v>46133</v>
      </c>
      <c r="C13" s="113">
        <v>46140</v>
      </c>
      <c r="D13" s="114">
        <f>NETWORKDAYS(B13,C13, 'Public Holidays'!A2:A14)</f>
        <v>6</v>
      </c>
      <c r="E13" s="115">
        <v>6</v>
      </c>
      <c r="F13" s="113">
        <f t="shared" si="2"/>
        <v>46146</v>
      </c>
      <c r="G13" s="116">
        <f>NETWORKDAYS(B13,F13, 'Public Holidays'!A1:A13)</f>
        <v>10</v>
      </c>
      <c r="H13" s="117" t="s">
        <v>200</v>
      </c>
      <c r="I13" s="118">
        <f ca="1">Budgets_Solo!J8</f>
        <v>988.6937878787877</v>
      </c>
      <c r="J13" s="177"/>
      <c r="K13" s="177"/>
      <c r="L13" s="177"/>
      <c r="M13" s="177"/>
    </row>
    <row r="14" spans="1:13" ht="15" customHeight="1" x14ac:dyDescent="0.25">
      <c r="A14" s="136"/>
      <c r="B14" s="136"/>
      <c r="C14" s="139" t="s">
        <v>201</v>
      </c>
      <c r="D14" s="138">
        <f>AVERAGE(D8:D13)</f>
        <v>-17.5</v>
      </c>
      <c r="E14" s="138">
        <f>AVERAGE(E8:E13)</f>
        <v>15</v>
      </c>
      <c r="F14" s="138"/>
      <c r="G14" s="138">
        <f>AVERAGE(G8:G13)</f>
        <v>-6.333333333333333</v>
      </c>
      <c r="H14" s="139" t="s">
        <v>202</v>
      </c>
      <c r="I14" s="136">
        <f ca="1">SUM(I8:I12)</f>
        <v>63485.75250509863</v>
      </c>
      <c r="J14" s="177"/>
      <c r="K14" s="177"/>
      <c r="L14" s="177"/>
      <c r="M14" s="177"/>
    </row>
    <row r="15" spans="1:13" ht="15" customHeight="1" x14ac:dyDescent="0.25">
      <c r="A15" s="177"/>
      <c r="B15" s="177"/>
      <c r="C15" s="177"/>
      <c r="D15" s="177"/>
      <c r="E15" s="177"/>
      <c r="F15" s="177"/>
      <c r="G15" s="177"/>
      <c r="H15" s="177"/>
      <c r="I15" s="177"/>
      <c r="J15" s="177"/>
      <c r="K15" s="177"/>
      <c r="L15" s="177"/>
      <c r="M15" s="177"/>
    </row>
    <row r="16" spans="1:13" ht="15" customHeight="1" x14ac:dyDescent="0.25">
      <c r="A16" s="177"/>
      <c r="B16" s="177"/>
      <c r="C16" s="177"/>
      <c r="D16" s="177"/>
      <c r="E16" s="177"/>
      <c r="F16" s="177"/>
      <c r="G16" s="177"/>
      <c r="H16" s="177"/>
      <c r="I16" s="177"/>
      <c r="J16" s="177"/>
      <c r="K16" s="177"/>
      <c r="L16" s="177"/>
      <c r="M16" s="177"/>
    </row>
    <row r="17" spans="1:13" ht="15" customHeight="1" x14ac:dyDescent="0.25">
      <c r="A17" s="335" t="s">
        <v>203</v>
      </c>
      <c r="B17" s="317"/>
      <c r="C17" s="317"/>
      <c r="D17" s="317"/>
      <c r="E17" s="317"/>
      <c r="F17" s="317"/>
      <c r="G17" s="317"/>
      <c r="H17" s="318"/>
      <c r="I17" s="3"/>
      <c r="J17" s="8"/>
      <c r="K17" s="177"/>
      <c r="L17" s="177"/>
      <c r="M17" s="177"/>
    </row>
    <row r="18" spans="1:13" ht="30" x14ac:dyDescent="0.25">
      <c r="A18" s="102" t="s">
        <v>189</v>
      </c>
      <c r="B18" s="103" t="s">
        <v>204</v>
      </c>
      <c r="C18" s="103" t="s">
        <v>205</v>
      </c>
      <c r="D18" s="103" t="s">
        <v>10</v>
      </c>
      <c r="E18" s="103" t="s">
        <v>206</v>
      </c>
      <c r="F18" s="103" t="s">
        <v>207</v>
      </c>
      <c r="G18" s="103" t="s">
        <v>12</v>
      </c>
      <c r="H18" s="103" t="s">
        <v>208</v>
      </c>
      <c r="I18" s="103" t="s">
        <v>209</v>
      </c>
      <c r="J18" s="177"/>
      <c r="K18" s="177"/>
      <c r="L18" s="177"/>
      <c r="M18" s="177"/>
    </row>
    <row r="19" spans="1:13" ht="15" customHeight="1" x14ac:dyDescent="0.25">
      <c r="A19" s="120" t="str">
        <f>A8</f>
        <v>11-15 Station St</v>
      </c>
      <c r="B19" s="121">
        <v>493915</v>
      </c>
      <c r="C19" s="121">
        <v>522579.28</v>
      </c>
      <c r="D19" s="122">
        <v>524363.28</v>
      </c>
      <c r="E19" s="123">
        <f t="shared" ref="E19:E24" si="3">D19-C19</f>
        <v>1784</v>
      </c>
      <c r="F19" s="121">
        <f>'Revised Client Price'!B1-Deep_Dive!D19</f>
        <v>170433.76</v>
      </c>
      <c r="G19" s="124">
        <f>F19/'Revised Client Price'!B1</f>
        <v>0.24530006633304022</v>
      </c>
      <c r="H19" s="124">
        <v>0.2447</v>
      </c>
      <c r="I19" s="125">
        <v>0.26</v>
      </c>
      <c r="J19" s="177"/>
      <c r="K19" s="177"/>
      <c r="L19" s="177"/>
      <c r="M19" s="177"/>
    </row>
    <row r="20" spans="1:13" ht="15" customHeight="1" x14ac:dyDescent="0.25">
      <c r="A20" s="126" t="str">
        <f>A9</f>
        <v>17 Glydon Ave</v>
      </c>
      <c r="B20" s="127">
        <v>861062.36</v>
      </c>
      <c r="C20" s="127">
        <v>918288.18</v>
      </c>
      <c r="D20" s="128">
        <v>923388.1</v>
      </c>
      <c r="E20" s="129">
        <f t="shared" si="3"/>
        <v>5099.9199999999255</v>
      </c>
      <c r="F20" s="127">
        <f>'Revised Client Price'!B2-Deep_Dive!D20</f>
        <v>309017.27999999991</v>
      </c>
      <c r="G20" s="130">
        <f>F20/'Revised Client Price'!B2</f>
        <v>0.25074320918657456</v>
      </c>
      <c r="H20" s="130">
        <v>0.25469999999999998</v>
      </c>
      <c r="I20" s="131">
        <v>0.26</v>
      </c>
      <c r="J20" s="177"/>
      <c r="K20" s="177"/>
      <c r="L20" s="177"/>
      <c r="M20" s="177"/>
    </row>
    <row r="21" spans="1:13" ht="15" customHeight="1" x14ac:dyDescent="0.25">
      <c r="A21" s="120" t="str">
        <f>A10</f>
        <v>29 River Gum Close</v>
      </c>
      <c r="B21" s="121">
        <v>190333</v>
      </c>
      <c r="C21" s="121">
        <v>226974.11</v>
      </c>
      <c r="D21" s="122">
        <v>153059.6</v>
      </c>
      <c r="E21" s="232">
        <f t="shared" si="3"/>
        <v>-73914.50999999998</v>
      </c>
      <c r="F21" s="121">
        <f>'Revised Client Price'!B3-Deep_Dive!D21</f>
        <v>152435.9</v>
      </c>
      <c r="G21" s="124">
        <f>F21/'Revised Client Price'!B3</f>
        <v>0.49897919936627544</v>
      </c>
      <c r="H21" s="124">
        <v>0.33</v>
      </c>
      <c r="I21" s="125">
        <v>0.26</v>
      </c>
      <c r="J21" s="177"/>
      <c r="K21" s="177"/>
      <c r="L21" s="177"/>
      <c r="M21" s="177"/>
    </row>
    <row r="22" spans="1:13" ht="15" customHeight="1" x14ac:dyDescent="0.25">
      <c r="A22" s="126" t="str">
        <f>A11</f>
        <v>30 Connelly</v>
      </c>
      <c r="B22" s="127">
        <v>334103.12</v>
      </c>
      <c r="C22" s="127">
        <v>337055.12</v>
      </c>
      <c r="D22" s="128">
        <v>327108.23</v>
      </c>
      <c r="E22" s="233">
        <f t="shared" si="3"/>
        <v>-9946.890000000014</v>
      </c>
      <c r="F22" s="127">
        <f>'Revised Client Price'!B4-Deep_Dive!D22</f>
        <v>115997.53000000003</v>
      </c>
      <c r="G22" s="130">
        <f>F22/'Revised Client Price'!B4</f>
        <v>0.2617829431962248</v>
      </c>
      <c r="H22" s="130">
        <v>0.23910000000000001</v>
      </c>
      <c r="I22" s="131">
        <v>0.26</v>
      </c>
      <c r="J22" s="177"/>
      <c r="K22" s="177"/>
      <c r="L22" s="177"/>
      <c r="M22" s="177"/>
    </row>
    <row r="23" spans="1:13" ht="15" customHeight="1" x14ac:dyDescent="0.25">
      <c r="A23" s="120" t="str">
        <f>A12</f>
        <v>37 Robinson Street</v>
      </c>
      <c r="B23" s="121">
        <v>549712.28</v>
      </c>
      <c r="C23" s="121">
        <v>611074.92000000004</v>
      </c>
      <c r="D23" s="122">
        <v>632848.24</v>
      </c>
      <c r="E23" s="123">
        <f t="shared" si="3"/>
        <v>21773.319999999949</v>
      </c>
      <c r="F23" s="121">
        <f>'Revised Client Price'!B5-Deep_Dive!D23</f>
        <v>159652.75</v>
      </c>
      <c r="G23" s="124">
        <f>F23/'Revised Client Price'!B5</f>
        <v>0.20145432247346468</v>
      </c>
      <c r="H23" s="124">
        <v>0.22040000000000001</v>
      </c>
      <c r="I23" s="125">
        <v>0.26</v>
      </c>
      <c r="J23" s="177"/>
      <c r="K23" s="177"/>
      <c r="L23" s="177"/>
      <c r="M23" s="177"/>
    </row>
    <row r="24" spans="1:13" ht="15" customHeight="1" x14ac:dyDescent="0.25">
      <c r="A24" s="112" t="s">
        <v>315</v>
      </c>
      <c r="B24" s="127">
        <v>16900</v>
      </c>
      <c r="C24" s="127">
        <v>17560</v>
      </c>
      <c r="D24" s="128">
        <v>9321.9699999999993</v>
      </c>
      <c r="E24" s="129">
        <f t="shared" si="3"/>
        <v>-8238.0300000000007</v>
      </c>
      <c r="F24" s="127">
        <f>'Revised Client Price'!B6-Deep_Dive!D24</f>
        <v>15214.17</v>
      </c>
      <c r="G24" s="130">
        <f>F24/'Revised Client Price'!B6</f>
        <v>0.6200718613441234</v>
      </c>
      <c r="H24" s="130">
        <v>0.28370000000000001</v>
      </c>
      <c r="I24" s="131">
        <v>0.26</v>
      </c>
      <c r="J24" s="177"/>
      <c r="K24" s="177"/>
      <c r="L24" s="177"/>
      <c r="M24" s="177"/>
    </row>
    <row r="25" spans="1:13" ht="15" customHeight="1" x14ac:dyDescent="0.25">
      <c r="A25" s="140" t="s">
        <v>210</v>
      </c>
      <c r="B25" s="136">
        <f>SUM(B19:B23)</f>
        <v>2429125.7599999998</v>
      </c>
      <c r="C25" s="136">
        <f>SUM(C19:C23)</f>
        <v>2615971.61</v>
      </c>
      <c r="D25" s="136">
        <f>SUM(D19:D23)</f>
        <v>2560767.4500000002</v>
      </c>
      <c r="E25" s="136"/>
      <c r="F25" s="136">
        <f>SUM(F19:F23)</f>
        <v>907537.22</v>
      </c>
      <c r="G25" s="137">
        <f>AVERAGE(G19:G23)</f>
        <v>0.29165194811111594</v>
      </c>
      <c r="H25" s="137">
        <f>AVERAGE(H19:H24)</f>
        <v>0.2621</v>
      </c>
      <c r="I25" s="137">
        <v>0.26</v>
      </c>
      <c r="J25" s="177"/>
      <c r="K25" s="177"/>
      <c r="L25" s="177"/>
      <c r="M25" s="177"/>
    </row>
    <row r="26" spans="1:13" x14ac:dyDescent="0.25">
      <c r="A26" s="177"/>
      <c r="B26" s="177"/>
      <c r="C26" s="177"/>
      <c r="D26" s="177"/>
      <c r="E26" s="177"/>
      <c r="F26" s="177"/>
      <c r="G26" s="177"/>
      <c r="H26" s="177"/>
      <c r="I26" s="177"/>
      <c r="J26" s="177"/>
      <c r="K26" s="177"/>
      <c r="L26" s="177"/>
      <c r="M26" s="177"/>
    </row>
    <row r="27" spans="1:13" x14ac:dyDescent="0.25">
      <c r="A27" s="336" t="s">
        <v>313</v>
      </c>
      <c r="B27" s="336"/>
      <c r="C27" s="177"/>
      <c r="D27" s="177"/>
      <c r="E27" s="177"/>
      <c r="F27" s="177"/>
      <c r="G27" s="177"/>
      <c r="H27" s="177"/>
      <c r="I27" s="177"/>
      <c r="J27" s="177"/>
      <c r="K27" s="177"/>
      <c r="L27" s="177"/>
      <c r="M27" s="177"/>
    </row>
    <row r="28" spans="1:13" x14ac:dyDescent="0.25">
      <c r="A28" s="177"/>
      <c r="B28" s="177"/>
      <c r="C28" s="177"/>
      <c r="D28" s="177"/>
      <c r="E28" s="177"/>
      <c r="F28" s="177"/>
      <c r="G28" s="177"/>
      <c r="H28" s="177"/>
      <c r="I28" s="177"/>
      <c r="J28" s="177"/>
      <c r="K28" s="177"/>
      <c r="L28" s="177"/>
      <c r="M28" s="177"/>
    </row>
    <row r="29" spans="1:13" ht="15" customHeight="1" x14ac:dyDescent="0.25">
      <c r="A29" s="177"/>
      <c r="B29" s="222"/>
      <c r="C29" s="177"/>
      <c r="D29" s="177"/>
      <c r="E29" s="177"/>
      <c r="F29" s="177"/>
      <c r="G29" s="177"/>
      <c r="H29" s="177"/>
      <c r="I29" s="177"/>
      <c r="J29" s="177"/>
      <c r="K29" s="177"/>
      <c r="L29" s="177"/>
      <c r="M29" s="177"/>
    </row>
    <row r="30" spans="1:13" ht="15" customHeight="1" x14ac:dyDescent="0.25">
      <c r="A30" s="177"/>
      <c r="B30" s="222"/>
      <c r="C30" s="177"/>
      <c r="D30" s="177"/>
      <c r="E30" s="177"/>
      <c r="F30" s="177"/>
      <c r="G30" s="177"/>
      <c r="H30" s="177"/>
      <c r="I30" s="177"/>
      <c r="J30" s="177"/>
      <c r="K30" s="177"/>
      <c r="L30" s="177"/>
      <c r="M30" s="177"/>
    </row>
    <row r="31" spans="1:13" ht="15" customHeight="1" x14ac:dyDescent="0.25">
      <c r="A31" s="177"/>
      <c r="B31" s="222"/>
      <c r="C31" s="177"/>
      <c r="D31" s="177"/>
      <c r="E31" s="177"/>
      <c r="F31" s="177"/>
      <c r="G31" s="177"/>
      <c r="H31" s="177"/>
      <c r="I31" s="177"/>
      <c r="J31" s="177"/>
      <c r="K31" s="177"/>
      <c r="L31" s="177"/>
      <c r="M31" s="177"/>
    </row>
  </sheetData>
  <mergeCells count="4">
    <mergeCell ref="A1:I3"/>
    <mergeCell ref="A6:H6"/>
    <mergeCell ref="A17:H17"/>
    <mergeCell ref="A27:B27"/>
  </mergeCells>
  <conditionalFormatting sqref="D8:D13 G8:G13">
    <cfRule type="cellIs" dxfId="54" priority="27" operator="equal">
      <formula>0</formula>
    </cfRule>
    <cfRule type="cellIs" dxfId="53" priority="28" operator="lessThan">
      <formula>0</formula>
    </cfRule>
    <cfRule type="cellIs" dxfId="52" priority="29" operator="greaterThan">
      <formula>0</formula>
    </cfRule>
  </conditionalFormatting>
  <conditionalFormatting sqref="E19:E24">
    <cfRule type="cellIs" dxfId="51" priority="30" operator="equal">
      <formula>0</formula>
    </cfRule>
    <cfRule type="cellIs" dxfId="50" priority="31" operator="lessThan">
      <formula>0</formula>
    </cfRule>
    <cfRule type="cellIs" dxfId="49" priority="32" operator="greaterThan">
      <formula>0</formula>
    </cfRule>
    <cfRule type="iconSet" priority="34">
      <iconSet iconSet="3Symbols2" showValue="0" reverse="1">
        <cfvo type="percent" val="0"/>
        <cfvo type="num" val="0"/>
        <cfvo type="num" val="1"/>
      </iconSet>
    </cfRule>
  </conditionalFormatting>
  <conditionalFormatting sqref="G19:G24">
    <cfRule type="cellIs" dxfId="48" priority="24" operator="equal">
      <formula>$H$19</formula>
    </cfRule>
    <cfRule type="cellIs" dxfId="47" priority="25" operator="lessThan">
      <formula>$H$19</formula>
    </cfRule>
    <cfRule type="cellIs" dxfId="46" priority="26" operator="greaterThan">
      <formula>$H$19</formula>
    </cfRule>
  </conditionalFormatting>
  <conditionalFormatting sqref="G25">
    <cfRule type="cellIs" dxfId="45" priority="1" operator="lessThan">
      <formula>$H$25</formula>
    </cfRule>
    <cfRule type="cellIs" dxfId="44" priority="2" operator="greaterThan">
      <formula>$H$25</formula>
    </cfRule>
  </conditionalFormatting>
  <pageMargins left="0.7" right="0.7" top="0.75" bottom="0.75" header="0.511811023622047" footer="0.511811023622047"/>
  <pageSetup paperSize="9" orientation="landscape" horizontalDpi="300" verticalDpi="300"/>
  <drawing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I27"/>
  <sheetViews>
    <sheetView zoomScaleNormal="100" workbookViewId="0">
      <selection activeCell="E32" sqref="E32"/>
    </sheetView>
  </sheetViews>
  <sheetFormatPr defaultColWidth="8.7109375" defaultRowHeight="15" x14ac:dyDescent="0.25"/>
  <cols>
    <col min="1" max="1" width="19.140625" customWidth="1"/>
    <col min="2" max="2" width="10.5703125" customWidth="1"/>
    <col min="3" max="3" width="15.28515625" customWidth="1"/>
    <col min="4" max="4" width="18.42578125" bestFit="1" customWidth="1"/>
    <col min="5" max="5" width="20.140625" customWidth="1"/>
    <col min="6" max="6" width="12.42578125" customWidth="1"/>
    <col min="7" max="7" width="12.85546875" customWidth="1"/>
    <col min="8" max="8" width="13.7109375" bestFit="1" customWidth="1"/>
    <col min="9" max="9" width="16.5703125" customWidth="1"/>
  </cols>
  <sheetData>
    <row r="1" spans="1:9" ht="15" customHeight="1" x14ac:dyDescent="0.25">
      <c r="A1" s="230">
        <v>46048</v>
      </c>
      <c r="B1" s="177"/>
      <c r="C1" s="177"/>
      <c r="D1" s="177"/>
      <c r="E1" s="177"/>
      <c r="F1" s="177"/>
      <c r="G1" s="177"/>
      <c r="H1" s="177"/>
      <c r="I1" s="177"/>
    </row>
    <row r="2" spans="1:9" ht="15" customHeight="1" x14ac:dyDescent="0.25">
      <c r="A2" s="230">
        <v>46090</v>
      </c>
      <c r="B2" s="177"/>
      <c r="C2" s="177"/>
      <c r="D2" s="177"/>
      <c r="E2" s="177"/>
      <c r="F2" s="177"/>
      <c r="G2" s="177"/>
      <c r="H2" s="177"/>
      <c r="I2" s="177"/>
    </row>
    <row r="3" spans="1:9" ht="15" customHeight="1" x14ac:dyDescent="0.25">
      <c r="A3" s="230">
        <v>46115</v>
      </c>
      <c r="B3" s="177"/>
      <c r="C3" s="177"/>
      <c r="D3" s="177"/>
      <c r="E3" s="177"/>
      <c r="F3" s="177"/>
      <c r="G3" s="177"/>
      <c r="H3" s="177"/>
      <c r="I3" s="177"/>
    </row>
    <row r="4" spans="1:9" ht="15" customHeight="1" x14ac:dyDescent="0.25">
      <c r="A4" s="230">
        <v>46116</v>
      </c>
      <c r="B4" s="177"/>
      <c r="C4" s="177"/>
      <c r="D4" s="177"/>
      <c r="E4" s="177"/>
      <c r="F4" s="177"/>
      <c r="G4" s="177"/>
      <c r="H4" s="177"/>
      <c r="I4" s="177"/>
    </row>
    <row r="5" spans="1:9" ht="15" customHeight="1" x14ac:dyDescent="0.25">
      <c r="A5" s="230">
        <v>46117</v>
      </c>
      <c r="B5" s="177"/>
      <c r="C5" s="177"/>
      <c r="D5" s="177"/>
      <c r="E5" s="177"/>
      <c r="F5" s="177"/>
      <c r="G5" s="177"/>
      <c r="H5" s="177"/>
      <c r="I5" s="177"/>
    </row>
    <row r="6" spans="1:9" ht="15" customHeight="1" x14ac:dyDescent="0.25">
      <c r="A6" s="230">
        <v>46118</v>
      </c>
      <c r="B6" s="177"/>
      <c r="C6" s="177"/>
      <c r="D6" s="177"/>
      <c r="E6" s="177"/>
      <c r="F6" s="177"/>
      <c r="G6" s="177"/>
      <c r="H6" s="177"/>
      <c r="I6" s="177"/>
    </row>
    <row r="7" spans="1:9" ht="15" customHeight="1" x14ac:dyDescent="0.25">
      <c r="A7" s="230">
        <v>46137</v>
      </c>
      <c r="B7" s="177"/>
      <c r="C7" s="177"/>
      <c r="D7" s="177"/>
      <c r="E7" s="177"/>
      <c r="F7" s="177"/>
      <c r="G7" s="177"/>
      <c r="H7" s="177"/>
      <c r="I7" s="177"/>
    </row>
    <row r="8" spans="1:9" ht="15" customHeight="1" x14ac:dyDescent="0.25">
      <c r="A8" s="230">
        <v>46181</v>
      </c>
      <c r="B8" s="177"/>
      <c r="C8" s="177"/>
      <c r="D8" s="177"/>
      <c r="E8" s="177"/>
      <c r="F8" s="177"/>
      <c r="G8" s="177"/>
      <c r="H8" s="177"/>
      <c r="I8" s="177"/>
    </row>
    <row r="9" spans="1:9" ht="15" customHeight="1" x14ac:dyDescent="0.25">
      <c r="A9" s="230">
        <v>46290</v>
      </c>
      <c r="B9" s="177"/>
      <c r="C9" s="177"/>
      <c r="D9" s="177"/>
      <c r="E9" s="177"/>
      <c r="F9" s="177"/>
      <c r="G9" s="177"/>
      <c r="H9" s="177"/>
      <c r="I9" s="177"/>
    </row>
    <row r="10" spans="1:9" ht="15" customHeight="1" x14ac:dyDescent="0.25">
      <c r="A10" s="230">
        <v>46329</v>
      </c>
      <c r="B10" s="177"/>
      <c r="C10" s="177"/>
      <c r="D10" s="177"/>
      <c r="E10" s="177"/>
      <c r="F10" s="177"/>
      <c r="G10" s="177"/>
      <c r="H10" s="177"/>
      <c r="I10" s="177"/>
    </row>
    <row r="11" spans="1:9" ht="15" customHeight="1" x14ac:dyDescent="0.25">
      <c r="A11" s="230">
        <v>46381</v>
      </c>
      <c r="B11" s="177"/>
      <c r="C11" s="177"/>
      <c r="D11" s="177"/>
      <c r="E11" s="177"/>
      <c r="F11" s="177"/>
      <c r="G11" s="177"/>
      <c r="H11" s="177"/>
      <c r="I11" s="177"/>
    </row>
    <row r="12" spans="1:9" ht="15" customHeight="1" x14ac:dyDescent="0.25">
      <c r="A12" s="230">
        <v>46382</v>
      </c>
      <c r="B12" s="177"/>
      <c r="C12" s="177"/>
      <c r="D12" s="177"/>
      <c r="E12" s="177"/>
      <c r="F12" s="177"/>
      <c r="G12" s="177"/>
      <c r="H12" s="177"/>
      <c r="I12" s="177"/>
    </row>
    <row r="13" spans="1:9" ht="15" customHeight="1" x14ac:dyDescent="0.25">
      <c r="A13" s="230">
        <v>46384</v>
      </c>
      <c r="B13" s="177"/>
      <c r="C13" s="177"/>
      <c r="D13" s="177"/>
      <c r="E13" s="177"/>
      <c r="F13" s="177"/>
      <c r="G13" s="177"/>
      <c r="H13" s="177"/>
      <c r="I13" s="177"/>
    </row>
    <row r="14" spans="1:9" ht="17.25" customHeight="1" x14ac:dyDescent="0.3">
      <c r="A14" s="54"/>
      <c r="B14" s="177"/>
      <c r="C14" s="177"/>
      <c r="D14" s="177"/>
      <c r="E14" s="177"/>
      <c r="F14" s="177"/>
      <c r="G14" s="177"/>
      <c r="H14" s="177"/>
      <c r="I14" s="177"/>
    </row>
    <row r="15" spans="1:9" ht="15" customHeight="1" x14ac:dyDescent="0.25">
      <c r="A15" s="177" t="s">
        <v>211</v>
      </c>
      <c r="B15" s="234">
        <v>50</v>
      </c>
      <c r="C15" s="177"/>
      <c r="D15" s="177"/>
      <c r="E15" s="177"/>
      <c r="F15" s="177"/>
      <c r="G15" s="177"/>
      <c r="H15" s="177"/>
      <c r="I15" s="177"/>
    </row>
    <row r="16" spans="1:9" ht="15" customHeight="1" x14ac:dyDescent="0.25">
      <c r="A16" s="177" t="s">
        <v>197</v>
      </c>
      <c r="B16" s="234">
        <v>70</v>
      </c>
      <c r="C16" s="177"/>
      <c r="D16" s="177"/>
      <c r="E16" s="177"/>
      <c r="F16" s="177"/>
      <c r="G16" s="177"/>
      <c r="H16" s="177"/>
      <c r="I16" s="177"/>
    </row>
    <row r="17" spans="1:9" ht="15" customHeight="1" x14ac:dyDescent="0.25">
      <c r="A17" s="177" t="s">
        <v>212</v>
      </c>
      <c r="B17" s="234">
        <v>110</v>
      </c>
      <c r="C17" s="177"/>
      <c r="D17" s="177"/>
      <c r="E17" s="177"/>
      <c r="F17" s="177"/>
      <c r="G17" s="177"/>
      <c r="H17" s="177"/>
      <c r="I17" s="177"/>
    </row>
    <row r="18" spans="1:9" x14ac:dyDescent="0.25">
      <c r="A18" s="177"/>
      <c r="B18" s="177"/>
      <c r="C18" s="177"/>
      <c r="D18" s="177"/>
      <c r="E18" s="177"/>
      <c r="F18" s="177"/>
      <c r="G18" s="177"/>
      <c r="H18" s="177"/>
      <c r="I18" s="177"/>
    </row>
    <row r="19" spans="1:9" x14ac:dyDescent="0.25">
      <c r="A19" s="177"/>
      <c r="B19" s="177"/>
      <c r="C19" s="177"/>
      <c r="D19" s="177"/>
      <c r="E19" s="177"/>
      <c r="F19" s="177"/>
      <c r="G19" s="177"/>
      <c r="H19" s="177"/>
      <c r="I19" s="177"/>
    </row>
    <row r="20" spans="1:9" x14ac:dyDescent="0.25">
      <c r="A20" s="177"/>
      <c r="B20" s="177"/>
      <c r="C20" s="177"/>
      <c r="D20" s="177"/>
      <c r="E20" s="177"/>
      <c r="F20" s="177"/>
      <c r="G20" s="177"/>
      <c r="H20" s="177"/>
      <c r="I20" s="177"/>
    </row>
    <row r="21" spans="1:9" ht="15" customHeight="1" x14ac:dyDescent="0.25">
      <c r="A21" s="143" t="s">
        <v>2</v>
      </c>
      <c r="B21" s="143" t="s">
        <v>213</v>
      </c>
      <c r="C21" s="143" t="s">
        <v>214</v>
      </c>
      <c r="D21" s="143" t="s">
        <v>215</v>
      </c>
      <c r="E21" s="143" t="s">
        <v>216</v>
      </c>
      <c r="F21" s="143" t="s">
        <v>217</v>
      </c>
      <c r="G21" s="143" t="s">
        <v>218</v>
      </c>
      <c r="H21" s="143" t="s">
        <v>219</v>
      </c>
      <c r="I21" s="143" t="s">
        <v>220</v>
      </c>
    </row>
    <row r="22" spans="1:9" ht="15" customHeight="1" x14ac:dyDescent="0.25">
      <c r="A22" s="177" t="str">
        <f>Deep_Dive!A8</f>
        <v>11-15 Station St</v>
      </c>
      <c r="B22" s="177">
        <v>103</v>
      </c>
      <c r="C22" s="177">
        <v>81</v>
      </c>
      <c r="D22" s="235">
        <f t="shared" ref="D22:D27" si="0">C22/B22</f>
        <v>0.78640776699029125</v>
      </c>
      <c r="E22" s="235">
        <f t="shared" ref="E22:E27" ca="1" si="1">F22/G22</f>
        <v>0.85253456221198154</v>
      </c>
      <c r="F22" s="177">
        <f t="shared" ref="F22:F27" ca="1" si="2">_xlfn.DAYS(TODAY(), I22)</f>
        <v>185</v>
      </c>
      <c r="G22" s="177">
        <f>_xlfn.DAYS(Deep_Dive!C8,'Public Holidays'!I22)</f>
        <v>217</v>
      </c>
      <c r="H22" s="231">
        <f>Deep_Dive!E8</f>
        <v>23</v>
      </c>
      <c r="I22" s="230">
        <v>45971</v>
      </c>
    </row>
    <row r="23" spans="1:9" ht="15" customHeight="1" x14ac:dyDescent="0.25">
      <c r="A23" s="177" t="str">
        <f>Deep_Dive!A9</f>
        <v>17 Glydon Ave</v>
      </c>
      <c r="B23" s="177">
        <v>169</v>
      </c>
      <c r="C23" s="177">
        <v>134</v>
      </c>
      <c r="D23" s="235">
        <f t="shared" si="0"/>
        <v>0.79289940828402372</v>
      </c>
      <c r="E23" s="235">
        <f t="shared" ca="1" si="1"/>
        <v>0.58199356913183276</v>
      </c>
      <c r="F23" s="177">
        <f t="shared" ca="1" si="2"/>
        <v>181</v>
      </c>
      <c r="G23" s="177">
        <f>_xlfn.DAYS(Deep_Dive!C9,'Public Holidays'!I23)</f>
        <v>311</v>
      </c>
      <c r="H23" s="231">
        <f>Deep_Dive!E9</f>
        <v>24</v>
      </c>
      <c r="I23" s="230">
        <v>45975</v>
      </c>
    </row>
    <row r="24" spans="1:9" ht="15" customHeight="1" x14ac:dyDescent="0.25">
      <c r="A24" s="177" t="str">
        <f>Deep_Dive!A10</f>
        <v>29 River Gum Close</v>
      </c>
      <c r="B24" s="177">
        <v>37</v>
      </c>
      <c r="C24" s="177">
        <v>0</v>
      </c>
      <c r="D24" s="235">
        <f t="shared" si="0"/>
        <v>0</v>
      </c>
      <c r="E24" s="235">
        <f t="shared" ca="1" si="1"/>
        <v>0.41626794258373206</v>
      </c>
      <c r="F24" s="177">
        <f t="shared" ca="1" si="2"/>
        <v>87</v>
      </c>
      <c r="G24" s="177">
        <f>_xlfn.DAYS(Deep_Dive!C10,'Public Holidays'!I24)</f>
        <v>209</v>
      </c>
      <c r="H24" s="231">
        <f>Deep_Dive!E10</f>
        <v>0</v>
      </c>
      <c r="I24" s="230">
        <v>46069</v>
      </c>
    </row>
    <row r="25" spans="1:9" ht="15" customHeight="1" x14ac:dyDescent="0.25">
      <c r="A25" s="177" t="str">
        <f>Deep_Dive!A11</f>
        <v>30 Connelly</v>
      </c>
      <c r="B25" s="177">
        <v>104</v>
      </c>
      <c r="C25" s="177">
        <v>73</v>
      </c>
      <c r="D25" s="235">
        <f t="shared" si="0"/>
        <v>0.70192307692307687</v>
      </c>
      <c r="E25" s="235">
        <f t="shared" ca="1" si="1"/>
        <v>0.5130434782608696</v>
      </c>
      <c r="F25" s="177">
        <f t="shared" ca="1" si="2"/>
        <v>118</v>
      </c>
      <c r="G25" s="177">
        <f>_xlfn.DAYS(Deep_Dive!C11,'Public Holidays'!I25)</f>
        <v>230</v>
      </c>
      <c r="H25" s="231">
        <f>Deep_Dive!E11</f>
        <v>37</v>
      </c>
      <c r="I25" s="230">
        <v>46038</v>
      </c>
    </row>
    <row r="26" spans="1:9" ht="15" customHeight="1" x14ac:dyDescent="0.25">
      <c r="A26" s="177" t="str">
        <f>Deep_Dive!A12</f>
        <v>37 Robinson Street</v>
      </c>
      <c r="B26" s="177">
        <v>265</v>
      </c>
      <c r="C26" s="177">
        <v>226</v>
      </c>
      <c r="D26" s="235">
        <f t="shared" si="0"/>
        <v>0.85283018867924532</v>
      </c>
      <c r="E26" s="235">
        <f t="shared" ca="1" si="1"/>
        <v>1.3333333333333333</v>
      </c>
      <c r="F26" s="177">
        <f t="shared" ca="1" si="2"/>
        <v>304</v>
      </c>
      <c r="G26" s="177">
        <f>_xlfn.DAYS(Deep_Dive!C12,'Public Holidays'!I26)</f>
        <v>228</v>
      </c>
      <c r="H26" s="231">
        <f>Deep_Dive!E12</f>
        <v>0</v>
      </c>
      <c r="I26" s="230">
        <v>45852</v>
      </c>
    </row>
    <row r="27" spans="1:9" ht="15" customHeight="1" x14ac:dyDescent="0.25">
      <c r="A27" s="177" t="str">
        <f>Deep_Dive!A13</f>
        <v xml:space="preserve">801 MHBR </v>
      </c>
      <c r="B27" s="177">
        <v>16</v>
      </c>
      <c r="C27" s="177">
        <v>16</v>
      </c>
      <c r="D27" s="235">
        <f t="shared" si="0"/>
        <v>1</v>
      </c>
      <c r="E27" s="235">
        <f t="shared" ca="1" si="1"/>
        <v>1.2857142857142858</v>
      </c>
      <c r="F27" s="177">
        <f t="shared" ca="1" si="2"/>
        <v>72</v>
      </c>
      <c r="G27" s="177">
        <f>_xlfn.DAYS(Deep_Dive!C13,'Public Holidays'!I27)</f>
        <v>56</v>
      </c>
      <c r="H27" s="231">
        <f>Deep_Dive!E13</f>
        <v>6</v>
      </c>
      <c r="I27" s="230">
        <v>46084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40"/>
  <sheetViews>
    <sheetView zoomScaleNormal="100" workbookViewId="0">
      <selection activeCell="G27" sqref="G27"/>
    </sheetView>
  </sheetViews>
  <sheetFormatPr defaultColWidth="8.7109375" defaultRowHeight="15" x14ac:dyDescent="0.25"/>
  <cols>
    <col min="1" max="1" width="19.5703125" customWidth="1"/>
    <col min="2" max="2" width="33.42578125" customWidth="1"/>
    <col min="3" max="3" width="30.28515625" customWidth="1"/>
    <col min="4" max="4" width="23.140625" customWidth="1"/>
    <col min="5" max="5" width="30.7109375" customWidth="1"/>
    <col min="6" max="6" width="25.7109375" customWidth="1"/>
    <col min="7" max="7" width="31.140625" customWidth="1"/>
    <col min="8" max="8" width="39.85546875" customWidth="1"/>
    <col min="10" max="10" width="39.85546875" customWidth="1"/>
  </cols>
  <sheetData>
    <row r="1" spans="1:10" ht="24.75" customHeight="1" x14ac:dyDescent="0.25">
      <c r="A1" s="338" t="s">
        <v>187</v>
      </c>
      <c r="B1" s="320"/>
      <c r="C1" s="320"/>
      <c r="D1" s="320"/>
      <c r="E1" s="320"/>
      <c r="F1" s="155" t="s">
        <v>0</v>
      </c>
      <c r="G1" s="156">
        <f ca="1">NOW()</f>
        <v>46156.35136724537</v>
      </c>
      <c r="H1" s="8"/>
      <c r="I1" s="8"/>
      <c r="J1" s="177"/>
    </row>
    <row r="2" spans="1:10" ht="30" customHeight="1" x14ac:dyDescent="0.25">
      <c r="A2" s="143" t="s">
        <v>189</v>
      </c>
      <c r="B2" s="143" t="s">
        <v>180</v>
      </c>
      <c r="C2" s="143" t="s">
        <v>191</v>
      </c>
      <c r="D2" s="143" t="s">
        <v>222</v>
      </c>
      <c r="E2" s="143" t="s">
        <v>223</v>
      </c>
      <c r="F2" s="177"/>
      <c r="G2" s="177"/>
      <c r="H2" s="177"/>
      <c r="I2" s="177"/>
      <c r="J2" s="177"/>
    </row>
    <row r="3" spans="1:10" ht="15" customHeight="1" x14ac:dyDescent="0.25">
      <c r="A3" s="105" t="s">
        <v>129</v>
      </c>
      <c r="B3" s="106">
        <v>46059</v>
      </c>
      <c r="C3" s="106">
        <v>46045</v>
      </c>
      <c r="D3" s="106">
        <v>46062</v>
      </c>
      <c r="E3" s="297">
        <f>_xlfn.DAYS(Table32[[#This Row],[Date of Completion]], Table32[[#This Row],[Start Date]])</f>
        <v>3</v>
      </c>
      <c r="F3" s="177"/>
      <c r="G3" s="177"/>
      <c r="H3" s="177"/>
      <c r="I3" s="177"/>
      <c r="J3" s="177"/>
    </row>
    <row r="4" spans="1:10" ht="15" customHeight="1" x14ac:dyDescent="0.25">
      <c r="A4" s="146" t="s">
        <v>130</v>
      </c>
      <c r="B4" s="113">
        <v>45789</v>
      </c>
      <c r="C4" s="113">
        <v>46099</v>
      </c>
      <c r="D4" s="147">
        <v>46063</v>
      </c>
      <c r="E4" s="157">
        <f>_xlfn.DAYS(Table32[[#This Row],[Date of Completion]], Table32[[#This Row],[Start Date]])</f>
        <v>274</v>
      </c>
      <c r="F4" s="177"/>
      <c r="G4" s="177"/>
      <c r="H4" s="177"/>
      <c r="I4" s="177"/>
      <c r="J4" s="177"/>
    </row>
    <row r="5" spans="1:10" ht="15" customHeight="1" x14ac:dyDescent="0.25">
      <c r="A5" s="105" t="s">
        <v>131</v>
      </c>
      <c r="B5" s="106">
        <v>46062</v>
      </c>
      <c r="C5" s="106">
        <v>46062</v>
      </c>
      <c r="D5" s="106">
        <v>46062</v>
      </c>
      <c r="E5" s="297">
        <f>_xlfn.DAYS(Table32[[#This Row],[Date of Completion]], Table32[[#This Row],[Start Date]])</f>
        <v>0</v>
      </c>
      <c r="F5" s="177"/>
      <c r="G5" s="177"/>
      <c r="H5" s="177"/>
      <c r="I5" s="177"/>
      <c r="J5" s="177"/>
    </row>
    <row r="6" spans="1:10" ht="15" customHeight="1" x14ac:dyDescent="0.25">
      <c r="A6" s="112" t="s">
        <v>224</v>
      </c>
      <c r="B6" s="147">
        <v>46043</v>
      </c>
      <c r="C6" s="147">
        <v>46062</v>
      </c>
      <c r="D6" s="147">
        <v>46059</v>
      </c>
      <c r="E6" s="157">
        <f>_xlfn.DAYS(Table32[[#This Row],[Date of Completion]], Table32[[#This Row],[Start Date]])</f>
        <v>16</v>
      </c>
      <c r="F6" s="177"/>
      <c r="G6" s="177"/>
      <c r="H6" s="177"/>
      <c r="I6" s="177"/>
      <c r="J6" s="177"/>
    </row>
    <row r="7" spans="1:10" ht="15" customHeight="1" x14ac:dyDescent="0.25">
      <c r="A7" s="120" t="s">
        <v>199</v>
      </c>
      <c r="B7" s="106">
        <v>46133</v>
      </c>
      <c r="C7" s="106">
        <v>46133</v>
      </c>
      <c r="D7" s="106">
        <v>46133</v>
      </c>
      <c r="E7" s="297">
        <f>_xlfn.DAYS(Table32[[#This Row],[Date of Completion]], Table32[[#This Row],[Start Date]])</f>
        <v>0</v>
      </c>
      <c r="F7" s="177"/>
      <c r="G7" s="177"/>
      <c r="H7" s="177"/>
      <c r="I7" s="177"/>
      <c r="J7" s="177"/>
    </row>
    <row r="8" spans="1:10" ht="15" customHeight="1" x14ac:dyDescent="0.25">
      <c r="A8" s="112" t="s">
        <v>122</v>
      </c>
      <c r="B8" s="147">
        <v>45852</v>
      </c>
      <c r="C8" s="147">
        <v>46080</v>
      </c>
      <c r="D8" s="147">
        <v>46140</v>
      </c>
      <c r="E8" s="157">
        <f>_xlfn.DAYS(Table32[[#This Row],[Date of Completion]], Table32[[#This Row],[Start Date]])</f>
        <v>288</v>
      </c>
      <c r="F8" s="177"/>
      <c r="G8" s="177"/>
      <c r="H8" s="177"/>
      <c r="I8" s="177"/>
      <c r="J8" s="177"/>
    </row>
    <row r="9" spans="1:10" ht="15" customHeight="1" x14ac:dyDescent="0.25">
      <c r="A9" s="105" t="s">
        <v>120</v>
      </c>
      <c r="B9" s="106">
        <v>46069</v>
      </c>
      <c r="C9" s="106">
        <v>46279</v>
      </c>
      <c r="D9" s="106">
        <v>46133</v>
      </c>
      <c r="E9" s="297">
        <f>_xlfn.DAYS(Table32[[#This Row],[Date of Completion]], Table32[[#This Row],[Start Date]])</f>
        <v>64</v>
      </c>
      <c r="F9" s="177"/>
      <c r="G9" s="177"/>
      <c r="H9" s="177"/>
      <c r="I9" s="177"/>
      <c r="J9" s="177"/>
    </row>
    <row r="10" spans="1:10" ht="15" customHeight="1" x14ac:dyDescent="0.25">
      <c r="A10" s="112" t="s">
        <v>316</v>
      </c>
      <c r="B10" s="147">
        <v>45775</v>
      </c>
      <c r="C10" s="147">
        <v>46064</v>
      </c>
      <c r="D10" s="147">
        <v>46010</v>
      </c>
      <c r="E10" s="157">
        <f>_xlfn.DAYS(Table32[[#This Row],[Date of Completion]], Table32[[#This Row],[Start Date]])</f>
        <v>235</v>
      </c>
      <c r="F10" s="177"/>
      <c r="G10" s="177"/>
      <c r="H10" s="177"/>
      <c r="I10" s="177"/>
      <c r="J10" s="177"/>
    </row>
    <row r="11" spans="1:10" ht="15" customHeight="1" x14ac:dyDescent="0.25">
      <c r="A11" s="105" t="s">
        <v>317</v>
      </c>
      <c r="B11" s="106">
        <v>45762</v>
      </c>
      <c r="C11" s="106">
        <v>45968</v>
      </c>
      <c r="D11" s="106">
        <v>46008</v>
      </c>
      <c r="E11" s="297">
        <f>_xlfn.DAYS(Table32[[#This Row],[Date of Completion]], Table32[[#This Row],[Start Date]])</f>
        <v>246</v>
      </c>
      <c r="F11" s="177"/>
      <c r="G11" s="177"/>
      <c r="H11" s="177"/>
      <c r="I11" s="177"/>
      <c r="J11" s="177"/>
    </row>
    <row r="12" spans="1:10" ht="15" customHeight="1" x14ac:dyDescent="0.25">
      <c r="A12" s="112"/>
      <c r="B12" s="147"/>
      <c r="C12" s="147"/>
      <c r="D12" s="147"/>
      <c r="E12" s="157">
        <f>_xlfn.DAYS(Table32[[#This Row],[Date of Completion]], Table32[[#This Row],[Start Date]])</f>
        <v>0</v>
      </c>
      <c r="F12" s="177"/>
      <c r="G12" s="177"/>
      <c r="H12" s="177"/>
      <c r="I12" s="177"/>
      <c r="J12" s="177"/>
    </row>
    <row r="13" spans="1:10" ht="15" customHeight="1" x14ac:dyDescent="0.25">
      <c r="A13" s="105"/>
      <c r="B13" s="106"/>
      <c r="C13" s="106"/>
      <c r="D13" s="106"/>
      <c r="E13" s="297">
        <f>_xlfn.DAYS(Table32[[#This Row],[Date of Completion]], Table32[[#This Row],[Start Date]])</f>
        <v>0</v>
      </c>
      <c r="F13" s="177"/>
      <c r="G13" s="177"/>
      <c r="H13" s="177"/>
      <c r="I13" s="177"/>
      <c r="J13" s="177"/>
    </row>
    <row r="14" spans="1:10" ht="15" customHeight="1" x14ac:dyDescent="0.25">
      <c r="A14" s="151"/>
      <c r="B14" s="151"/>
      <c r="C14" s="152" t="s">
        <v>225</v>
      </c>
      <c r="D14" s="149"/>
      <c r="E14" s="150">
        <f>AVERAGE(E3:E11)</f>
        <v>125.11111111111111</v>
      </c>
      <c r="F14" s="177"/>
      <c r="G14" s="177"/>
      <c r="H14" s="177"/>
      <c r="I14" s="177"/>
      <c r="J14" s="177"/>
    </row>
    <row r="15" spans="1:10" ht="15" customHeight="1" x14ac:dyDescent="0.25">
      <c r="A15" s="337"/>
      <c r="B15" s="320"/>
      <c r="C15" s="320"/>
      <c r="D15" s="320"/>
      <c r="E15" s="320"/>
      <c r="F15" s="320"/>
      <c r="G15" s="320"/>
      <c r="H15" s="177"/>
      <c r="I15" s="177"/>
      <c r="J15" s="177"/>
    </row>
    <row r="16" spans="1:10" ht="15" customHeight="1" x14ac:dyDescent="0.25">
      <c r="A16" s="335" t="s">
        <v>203</v>
      </c>
      <c r="B16" s="317"/>
      <c r="C16" s="317"/>
      <c r="D16" s="317"/>
      <c r="E16" s="317"/>
      <c r="F16" s="318"/>
      <c r="G16" s="8"/>
      <c r="H16" s="8"/>
      <c r="I16" s="8"/>
      <c r="J16" s="8"/>
    </row>
    <row r="17" spans="1:10" ht="30" customHeight="1" x14ac:dyDescent="0.25">
      <c r="A17" s="143" t="s">
        <v>189</v>
      </c>
      <c r="B17" s="143" t="s">
        <v>226</v>
      </c>
      <c r="C17" s="143" t="s">
        <v>64</v>
      </c>
      <c r="D17" s="143" t="s">
        <v>227</v>
      </c>
      <c r="E17" s="143" t="s">
        <v>228</v>
      </c>
      <c r="F17" s="143" t="s">
        <v>229</v>
      </c>
      <c r="G17" s="236"/>
      <c r="H17" s="177"/>
      <c r="I17" s="177"/>
      <c r="J17" s="177"/>
    </row>
    <row r="18" spans="1:10" ht="15" hidden="1" customHeight="1" x14ac:dyDescent="0.25">
      <c r="A18" s="20" t="str">
        <f>A2</f>
        <v>Project Address</v>
      </c>
      <c r="B18" s="237">
        <v>7345</v>
      </c>
      <c r="C18" s="237">
        <v>7587</v>
      </c>
      <c r="D18" s="237">
        <v>7451</v>
      </c>
      <c r="E18" s="237">
        <f>D18-C18</f>
        <v>-136</v>
      </c>
      <c r="F18" s="238" t="e">
        <f>'Revised Client Price'!#REF!-Dashboard!#REF!</f>
        <v>#REF!</v>
      </c>
      <c r="G18" s="177"/>
      <c r="H18" s="177"/>
      <c r="I18" s="177"/>
      <c r="J18" s="177"/>
    </row>
    <row r="19" spans="1:10" ht="15" customHeight="1" x14ac:dyDescent="0.25">
      <c r="A19" s="120" t="str">
        <f>A3</f>
        <v>104/108 Lygon Street</v>
      </c>
      <c r="B19" s="295">
        <v>7345</v>
      </c>
      <c r="C19" s="295">
        <v>7587</v>
      </c>
      <c r="D19" s="295">
        <v>6901</v>
      </c>
      <c r="E19" s="295">
        <f>Table53[[#This Row],[Revised client price]]-Table53[[#This Row],[Project Cost]]</f>
        <v>686</v>
      </c>
      <c r="F19" s="144">
        <f>E19/Table53[[#This Row],[Project Cost]]</f>
        <v>9.9405883205332557E-2</v>
      </c>
      <c r="G19" s="177"/>
      <c r="H19" s="177"/>
      <c r="I19" s="177"/>
      <c r="J19" s="177"/>
    </row>
    <row r="20" spans="1:10" ht="15" customHeight="1" x14ac:dyDescent="0.25">
      <c r="A20" s="126" t="str">
        <f>A4</f>
        <v>13 Glydon Ave</v>
      </c>
      <c r="B20" s="296">
        <v>544595</v>
      </c>
      <c r="C20" s="296">
        <v>751002.9</v>
      </c>
      <c r="D20" s="296">
        <v>634105.56999999995</v>
      </c>
      <c r="E20" s="296">
        <f>Table53[[#This Row],[Revised client price]]-Table53[[#This Row],[Project Cost]]</f>
        <v>116897.33000000007</v>
      </c>
      <c r="F20" s="145">
        <f>E20/Table53[[#This Row],[Project Cost]]</f>
        <v>0.1843499498040998</v>
      </c>
      <c r="G20" s="177"/>
      <c r="H20" s="177"/>
      <c r="I20" s="177"/>
      <c r="J20" s="177"/>
    </row>
    <row r="21" spans="1:10" ht="15" customHeight="1" x14ac:dyDescent="0.25">
      <c r="A21" s="120" t="str">
        <f>A5</f>
        <v>47 Bellavista Court</v>
      </c>
      <c r="B21" s="295">
        <v>4341</v>
      </c>
      <c r="C21" s="295">
        <v>4341</v>
      </c>
      <c r="D21" s="295">
        <v>1816</v>
      </c>
      <c r="E21" s="295">
        <f>Table53[[#This Row],[Revised client price]]-Table53[[#This Row],[Project Cost]]</f>
        <v>2525</v>
      </c>
      <c r="F21" s="144">
        <f>E21/Table53[[#This Row],[Project Cost]]</f>
        <v>1.3904185022026432</v>
      </c>
      <c r="G21" s="177" t="s">
        <v>230</v>
      </c>
      <c r="H21" s="177"/>
      <c r="I21" s="177"/>
      <c r="J21" s="177"/>
    </row>
    <row r="22" spans="1:10" ht="15" customHeight="1" x14ac:dyDescent="0.25">
      <c r="A22" s="126" t="str">
        <f>A6</f>
        <v xml:space="preserve">73 Fenwick St </v>
      </c>
      <c r="B22" s="296">
        <v>19183.78</v>
      </c>
      <c r="C22" s="296">
        <v>19183.78</v>
      </c>
      <c r="D22" s="296">
        <v>9960</v>
      </c>
      <c r="E22" s="296">
        <f>Table53[[#This Row],[Revised client price]]-Table53[[#This Row],[Project Cost]]</f>
        <v>9223.7799999999988</v>
      </c>
      <c r="F22" s="145">
        <f>E22/Table53[[#This Row],[Project Cost]]</f>
        <v>0.92608232931726897</v>
      </c>
      <c r="G22" s="177"/>
      <c r="H22" s="177"/>
      <c r="I22" s="177"/>
      <c r="J22" s="177"/>
    </row>
    <row r="23" spans="1:10" ht="15" customHeight="1" x14ac:dyDescent="0.25">
      <c r="A23" s="120" t="s">
        <v>199</v>
      </c>
      <c r="B23" s="295">
        <v>16900</v>
      </c>
      <c r="C23" s="295">
        <v>17560</v>
      </c>
      <c r="D23" s="295">
        <v>9321.9699999999993</v>
      </c>
      <c r="E23" s="295">
        <v>15214.17</v>
      </c>
      <c r="F23" s="144">
        <v>0.62</v>
      </c>
      <c r="G23" s="177"/>
      <c r="H23" s="177"/>
      <c r="I23" s="177"/>
      <c r="J23" s="177"/>
    </row>
    <row r="24" spans="1:10" ht="15" customHeight="1" x14ac:dyDescent="0.25">
      <c r="A24" s="126" t="s">
        <v>122</v>
      </c>
      <c r="B24" s="296">
        <v>549712.28</v>
      </c>
      <c r="C24" s="296">
        <v>611074.92000000004</v>
      </c>
      <c r="D24" s="296">
        <v>632848.24</v>
      </c>
      <c r="E24" s="296">
        <v>159652.75</v>
      </c>
      <c r="F24" s="145">
        <v>0.2</v>
      </c>
      <c r="G24" s="177"/>
      <c r="H24" s="177"/>
      <c r="I24" s="177"/>
      <c r="J24" s="177"/>
    </row>
    <row r="25" spans="1:10" ht="15" customHeight="1" x14ac:dyDescent="0.25">
      <c r="A25" s="120" t="s">
        <v>120</v>
      </c>
      <c r="B25" s="295">
        <v>190333</v>
      </c>
      <c r="C25" s="295">
        <v>226974.11</v>
      </c>
      <c r="D25" s="295">
        <v>133859.6</v>
      </c>
      <c r="E25" s="295">
        <v>152435.9</v>
      </c>
      <c r="F25" s="144">
        <v>0.5</v>
      </c>
      <c r="G25" s="177"/>
      <c r="H25" s="177"/>
      <c r="I25" s="177"/>
      <c r="J25" s="177"/>
    </row>
    <row r="26" spans="1:10" ht="15" customHeight="1" x14ac:dyDescent="0.25">
      <c r="A26" s="126" t="s">
        <v>316</v>
      </c>
      <c r="B26" s="296">
        <v>466208</v>
      </c>
      <c r="C26" s="296">
        <v>485093</v>
      </c>
      <c r="D26" s="296">
        <v>534837</v>
      </c>
      <c r="E26" s="296">
        <v>65139</v>
      </c>
      <c r="F26" s="145">
        <v>0.11</v>
      </c>
      <c r="G26" s="177"/>
      <c r="H26" s="177"/>
      <c r="I26" s="177"/>
      <c r="J26" s="177"/>
    </row>
    <row r="27" spans="1:10" ht="15" customHeight="1" x14ac:dyDescent="0.25">
      <c r="A27" s="120" t="s">
        <v>317</v>
      </c>
      <c r="B27" s="295">
        <v>356019</v>
      </c>
      <c r="C27" s="295">
        <v>415736</v>
      </c>
      <c r="D27" s="295">
        <v>411746</v>
      </c>
      <c r="E27" s="295">
        <v>107032</v>
      </c>
      <c r="F27" s="144">
        <v>0.21</v>
      </c>
      <c r="G27" s="177"/>
      <c r="H27" s="177"/>
      <c r="I27" s="177"/>
      <c r="J27" s="177"/>
    </row>
    <row r="28" spans="1:10" ht="15" customHeight="1" x14ac:dyDescent="0.25">
      <c r="A28" s="292"/>
      <c r="B28" s="293"/>
      <c r="C28" s="293"/>
      <c r="D28" s="293"/>
      <c r="E28" s="293"/>
      <c r="F28" s="294"/>
      <c r="G28" s="177"/>
      <c r="H28" s="177"/>
      <c r="I28" s="177"/>
      <c r="J28" s="177"/>
    </row>
    <row r="29" spans="1:10" ht="15" customHeight="1" x14ac:dyDescent="0.25">
      <c r="A29" s="292"/>
      <c r="B29" s="293"/>
      <c r="C29" s="293"/>
      <c r="D29" s="293"/>
      <c r="E29" s="293"/>
      <c r="F29" s="294"/>
      <c r="G29" s="177"/>
      <c r="H29" s="177"/>
      <c r="I29" s="177"/>
      <c r="J29" s="177"/>
    </row>
    <row r="30" spans="1:10" ht="15" customHeight="1" x14ac:dyDescent="0.25">
      <c r="A30" s="292"/>
      <c r="B30" s="293"/>
      <c r="C30" s="293"/>
      <c r="D30" s="293"/>
      <c r="E30" s="293"/>
      <c r="F30" s="294"/>
      <c r="G30" s="177"/>
      <c r="H30" s="177"/>
      <c r="I30" s="177"/>
      <c r="J30" s="177"/>
    </row>
    <row r="31" spans="1:10" ht="15" customHeight="1" x14ac:dyDescent="0.25">
      <c r="A31" s="148" t="s">
        <v>231</v>
      </c>
      <c r="B31" s="153">
        <f>SUM(B18:B26)</f>
        <v>1805963.06</v>
      </c>
      <c r="C31" s="153">
        <f>SUM(C19:C26)</f>
        <v>2122816.71</v>
      </c>
      <c r="D31" s="153">
        <f>SUM(D19:D26)</f>
        <v>1963649.38</v>
      </c>
      <c r="E31" s="153">
        <f>SUM(E19:E26)</f>
        <v>521773.93000000005</v>
      </c>
      <c r="F31" s="154">
        <f>AVERAGE(F19:F27)</f>
        <v>0.47113962939214943</v>
      </c>
      <c r="G31" s="177"/>
      <c r="H31" s="177"/>
      <c r="I31" s="177"/>
      <c r="J31" s="177"/>
    </row>
    <row r="32" spans="1:10" x14ac:dyDescent="0.25">
      <c r="A32" s="177"/>
      <c r="B32" s="177"/>
      <c r="C32" s="177"/>
      <c r="D32" s="177"/>
      <c r="E32" s="177"/>
      <c r="F32" s="177"/>
      <c r="G32" s="177"/>
      <c r="H32" s="177"/>
      <c r="I32" s="177"/>
      <c r="J32" s="177"/>
    </row>
    <row r="33" spans="1:10" x14ac:dyDescent="0.25">
      <c r="A33" s="177"/>
      <c r="B33" s="177"/>
      <c r="C33" s="177"/>
      <c r="D33" s="177"/>
      <c r="E33" s="177"/>
      <c r="F33" s="177"/>
      <c r="G33" s="177"/>
      <c r="H33" s="177"/>
      <c r="I33" s="177"/>
      <c r="J33" s="177"/>
    </row>
    <row r="34" spans="1:10" x14ac:dyDescent="0.25">
      <c r="A34" s="177"/>
      <c r="B34" s="177"/>
      <c r="C34" s="177"/>
      <c r="D34" s="177"/>
      <c r="E34" s="177"/>
      <c r="F34" s="177"/>
      <c r="G34" s="177"/>
      <c r="H34" s="177"/>
      <c r="I34" s="177"/>
      <c r="J34" s="177"/>
    </row>
    <row r="35" spans="1:10" x14ac:dyDescent="0.25">
      <c r="A35" s="177"/>
      <c r="B35" s="177"/>
      <c r="C35" s="177"/>
      <c r="D35" s="177"/>
      <c r="E35" s="177"/>
      <c r="F35" s="177"/>
      <c r="G35" s="177"/>
      <c r="H35" s="177"/>
      <c r="I35" s="177"/>
      <c r="J35" s="177"/>
    </row>
    <row r="36" spans="1:10" x14ac:dyDescent="0.25">
      <c r="A36" s="177"/>
      <c r="B36" s="177"/>
      <c r="C36" s="177"/>
      <c r="D36" s="177"/>
      <c r="E36" s="177"/>
      <c r="F36" s="177"/>
      <c r="G36" s="177"/>
      <c r="H36" s="177"/>
      <c r="I36" s="177"/>
      <c r="J36" s="177"/>
    </row>
    <row r="37" spans="1:10" ht="16.5" customHeight="1" x14ac:dyDescent="0.3">
      <c r="A37" s="177"/>
      <c r="B37" s="177"/>
      <c r="C37" s="177"/>
      <c r="D37" s="177"/>
      <c r="E37" s="177"/>
      <c r="F37" s="22"/>
      <c r="G37" s="23"/>
      <c r="H37" s="177"/>
      <c r="I37" s="177"/>
      <c r="J37" s="177"/>
    </row>
    <row r="38" spans="1:10" ht="16.5" customHeight="1" x14ac:dyDescent="0.3">
      <c r="A38" s="177"/>
      <c r="B38" s="177"/>
      <c r="C38" s="177"/>
      <c r="D38" s="177"/>
      <c r="E38" s="177"/>
      <c r="F38" s="11"/>
      <c r="G38" s="23"/>
      <c r="H38" s="177"/>
      <c r="I38" s="177"/>
      <c r="J38" s="177"/>
    </row>
    <row r="39" spans="1:10" ht="16.5" customHeight="1" x14ac:dyDescent="0.3">
      <c r="A39" s="177"/>
      <c r="B39" s="177"/>
      <c r="C39" s="177"/>
      <c r="D39" s="177"/>
      <c r="E39" s="177"/>
      <c r="F39" s="24"/>
      <c r="G39" s="177"/>
      <c r="H39" s="177"/>
      <c r="I39" s="177"/>
      <c r="J39" s="177"/>
    </row>
    <row r="40" spans="1:10" ht="15" customHeight="1" x14ac:dyDescent="0.25">
      <c r="A40" s="177"/>
      <c r="B40" s="177"/>
      <c r="C40" s="177"/>
      <c r="D40" s="177"/>
      <c r="E40" s="177"/>
      <c r="F40" s="225"/>
      <c r="G40" s="177"/>
      <c r="H40" s="177"/>
      <c r="I40" s="177"/>
      <c r="J40" s="177"/>
    </row>
  </sheetData>
  <mergeCells count="3">
    <mergeCell ref="A15:G15"/>
    <mergeCell ref="A1:E1"/>
    <mergeCell ref="A16:F16"/>
  </mergeCells>
  <conditionalFormatting sqref="E18">
    <cfRule type="cellIs" dxfId="43" priority="6" operator="equal">
      <formula>0</formula>
    </cfRule>
    <cfRule type="cellIs" dxfId="42" priority="7" operator="lessThan">
      <formula>0</formula>
    </cfRule>
    <cfRule type="cellIs" dxfId="41" priority="8" operator="greaterThan">
      <formula>0</formula>
    </cfRule>
    <cfRule type="iconSet" priority="9">
      <iconSet iconSet="3Symbols2" showValue="0" reverse="1">
        <cfvo type="percent" val="0"/>
        <cfvo type="num" val="0"/>
        <cfvo type="num" val="1"/>
      </iconSet>
    </cfRule>
  </conditionalFormatting>
  <pageMargins left="0.7" right="0.7" top="0.75" bottom="0.75" header="0.511811023622047" footer="0.511811023622047"/>
  <pageSetup paperSize="9" orientation="portrait" horizontalDpi="300" verticalDpi="300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N9"/>
  <sheetViews>
    <sheetView zoomScale="130" zoomScaleNormal="130" workbookViewId="0">
      <selection activeCell="A16" sqref="A16"/>
    </sheetView>
  </sheetViews>
  <sheetFormatPr defaultColWidth="8.7109375" defaultRowHeight="15" x14ac:dyDescent="0.25"/>
  <cols>
    <col min="1" max="1" width="20.140625" customWidth="1"/>
    <col min="2" max="2" width="20.7109375" customWidth="1"/>
    <col min="3" max="3" width="19" customWidth="1"/>
    <col min="4" max="4" width="26.5703125" customWidth="1"/>
    <col min="5" max="5" width="14.85546875" customWidth="1"/>
    <col min="6" max="6" width="18.85546875" customWidth="1"/>
    <col min="7" max="7" width="28.140625" customWidth="1"/>
    <col min="8" max="8" width="42.28515625" customWidth="1"/>
    <col min="9" max="9" width="13.28515625" customWidth="1"/>
  </cols>
  <sheetData>
    <row r="1" spans="1:14" ht="15" customHeight="1" x14ac:dyDescent="0.25">
      <c r="A1" s="339" t="s">
        <v>187</v>
      </c>
      <c r="B1" s="320"/>
      <c r="C1" s="320"/>
      <c r="D1" s="320"/>
      <c r="E1" s="320"/>
      <c r="F1" s="320"/>
      <c r="G1" s="320"/>
      <c r="H1" s="320"/>
      <c r="I1" s="320"/>
      <c r="J1" s="177"/>
      <c r="K1" s="177"/>
      <c r="L1" s="177"/>
      <c r="M1" s="177"/>
      <c r="N1" s="177"/>
    </row>
    <row r="2" spans="1:14" ht="51" customHeight="1" x14ac:dyDescent="0.25">
      <c r="A2" s="15" t="s">
        <v>189</v>
      </c>
      <c r="B2" s="15" t="s">
        <v>221</v>
      </c>
      <c r="C2" s="15" t="s">
        <v>191</v>
      </c>
      <c r="D2" s="15" t="s">
        <v>232</v>
      </c>
      <c r="E2" s="15" t="s">
        <v>193</v>
      </c>
      <c r="F2" s="15" t="s">
        <v>194</v>
      </c>
      <c r="G2" s="15" t="s">
        <v>233</v>
      </c>
      <c r="H2" s="15" t="s">
        <v>195</v>
      </c>
      <c r="I2" s="15" t="s">
        <v>234</v>
      </c>
      <c r="J2" s="177"/>
      <c r="K2" s="177"/>
      <c r="L2" s="177"/>
      <c r="M2" s="177"/>
      <c r="N2" s="177"/>
    </row>
    <row r="3" spans="1:14" ht="15" customHeight="1" x14ac:dyDescent="0.25">
      <c r="A3" s="16" t="s">
        <v>118</v>
      </c>
      <c r="B3" s="239">
        <f>Deep_Dive!B8</f>
        <v>46288</v>
      </c>
      <c r="C3" s="239">
        <f>Deep_Dive!C8</f>
        <v>46188</v>
      </c>
      <c r="D3" s="240">
        <f>Deep_Dive!D8</f>
        <v>-73</v>
      </c>
      <c r="E3" s="241">
        <f>Deep_Dive!E8</f>
        <v>23</v>
      </c>
      <c r="F3" s="239">
        <f>Deep_Dive!F8</f>
        <v>46211</v>
      </c>
      <c r="G3" s="17">
        <f>Deep_Dive!G8</f>
        <v>-56</v>
      </c>
      <c r="H3" s="28" t="s">
        <v>235</v>
      </c>
      <c r="I3" s="229">
        <f ca="1">Deep_Dive!I8</f>
        <v>14810.994032258064</v>
      </c>
      <c r="J3" s="177"/>
      <c r="K3" s="177"/>
      <c r="L3" s="177"/>
      <c r="M3" s="177"/>
      <c r="N3" s="222"/>
    </row>
    <row r="4" spans="1:14" ht="15" customHeight="1" x14ac:dyDescent="0.25">
      <c r="A4" s="21" t="s">
        <v>119</v>
      </c>
      <c r="B4" s="239">
        <f>Deep_Dive!B9</f>
        <v>46310</v>
      </c>
      <c r="C4" s="239">
        <f>Deep_Dive!C9</f>
        <v>46286</v>
      </c>
      <c r="D4" s="240">
        <f>Deep_Dive!D9</f>
        <v>-18</v>
      </c>
      <c r="E4" s="241">
        <f>Deep_Dive!E9</f>
        <v>24</v>
      </c>
      <c r="F4" s="239">
        <f>Deep_Dive!F9</f>
        <v>46310</v>
      </c>
      <c r="G4" s="17">
        <f>Deep_Dive!G9</f>
        <v>1</v>
      </c>
      <c r="H4" s="29" t="s">
        <v>198</v>
      </c>
      <c r="I4" s="229">
        <f ca="1">Deep_Dive!I9</f>
        <v>15865.324615384616</v>
      </c>
      <c r="J4" s="177"/>
      <c r="K4" s="177"/>
      <c r="L4" s="220"/>
      <c r="M4" s="177"/>
      <c r="N4" s="221"/>
    </row>
    <row r="5" spans="1:14" ht="15" customHeight="1" x14ac:dyDescent="0.25">
      <c r="A5" s="16" t="s">
        <v>120</v>
      </c>
      <c r="B5" s="239">
        <f>Deep_Dive!B10</f>
        <v>46230</v>
      </c>
      <c r="C5" s="239">
        <f>Deep_Dive!C10</f>
        <v>46278</v>
      </c>
      <c r="D5" s="240">
        <f>Deep_Dive!D10</f>
        <v>35</v>
      </c>
      <c r="E5" s="241">
        <f>Deep_Dive!E10</f>
        <v>0</v>
      </c>
      <c r="F5" s="239">
        <f>Deep_Dive!F10</f>
        <v>46278</v>
      </c>
      <c r="G5" s="17">
        <f>Deep_Dive!G10</f>
        <v>35</v>
      </c>
      <c r="H5" s="30" t="s">
        <v>236</v>
      </c>
      <c r="I5" s="229">
        <f ca="1">Deep_Dive!I10</f>
        <v>10647.922727272728</v>
      </c>
      <c r="J5" s="177"/>
      <c r="K5" s="177"/>
      <c r="L5" s="177"/>
      <c r="M5" s="177"/>
      <c r="N5" s="222"/>
    </row>
    <row r="6" spans="1:14" ht="15" customHeight="1" x14ac:dyDescent="0.25">
      <c r="A6" s="16" t="s">
        <v>121</v>
      </c>
      <c r="B6" s="239">
        <f>Deep_Dive!B11</f>
        <v>46283</v>
      </c>
      <c r="C6" s="239">
        <f>Deep_Dive!C11</f>
        <v>46268</v>
      </c>
      <c r="D6" s="240">
        <f>Deep_Dive!D11</f>
        <v>-12</v>
      </c>
      <c r="E6" s="241">
        <f>Deep_Dive!E11</f>
        <v>37</v>
      </c>
      <c r="F6" s="239">
        <f>Deep_Dive!F11</f>
        <v>46305</v>
      </c>
      <c r="G6" s="17">
        <f>Deep_Dive!G11</f>
        <v>15</v>
      </c>
      <c r="H6" s="30" t="s">
        <v>237</v>
      </c>
      <c r="I6" s="229">
        <f ca="1">Deep_Dive!I11</f>
        <v>7637.1252941176481</v>
      </c>
      <c r="J6" s="177"/>
      <c r="K6" s="177"/>
      <c r="L6" s="177"/>
      <c r="M6" s="177"/>
      <c r="N6" s="222"/>
    </row>
    <row r="7" spans="1:14" ht="15" customHeight="1" x14ac:dyDescent="0.25">
      <c r="A7" s="21" t="s">
        <v>122</v>
      </c>
      <c r="B7" s="239">
        <f>Deep_Dive!B12</f>
        <v>46143</v>
      </c>
      <c r="C7" s="239">
        <f>Deep_Dive!C12</f>
        <v>46080</v>
      </c>
      <c r="D7" s="240">
        <f>Deep_Dive!D12</f>
        <v>-43</v>
      </c>
      <c r="E7" s="241">
        <f>Deep_Dive!E12</f>
        <v>0</v>
      </c>
      <c r="F7" s="239">
        <f>Deep_Dive!F12</f>
        <v>46080</v>
      </c>
      <c r="G7" s="17">
        <f>Deep_Dive!G12</f>
        <v>-43</v>
      </c>
      <c r="H7" s="29" t="s">
        <v>238</v>
      </c>
      <c r="I7" s="229">
        <f ca="1">Deep_Dive!I12</f>
        <v>14524.385836065572</v>
      </c>
      <c r="J7" s="177"/>
      <c r="K7" s="177"/>
      <c r="L7" s="220"/>
      <c r="M7" s="177"/>
      <c r="N7" s="222"/>
    </row>
    <row r="8" spans="1:14" ht="15" customHeight="1" x14ac:dyDescent="0.25">
      <c r="A8" s="16" t="s">
        <v>199</v>
      </c>
      <c r="B8" s="239">
        <f>Deep_Dive!B13</f>
        <v>46133</v>
      </c>
      <c r="C8" s="239">
        <f>Deep_Dive!C13</f>
        <v>46140</v>
      </c>
      <c r="D8" s="240">
        <f>Deep_Dive!D13</f>
        <v>6</v>
      </c>
      <c r="E8" s="241">
        <f>Deep_Dive!E13</f>
        <v>6</v>
      </c>
      <c r="F8" s="239">
        <f>Deep_Dive!F13</f>
        <v>46146</v>
      </c>
      <c r="G8" s="17">
        <f>Deep_Dive!G13</f>
        <v>10</v>
      </c>
      <c r="H8" s="30" t="s">
        <v>239</v>
      </c>
      <c r="I8" s="229">
        <f ca="1">Deep_Dive!I13</f>
        <v>988.6937878787877</v>
      </c>
      <c r="J8" s="177"/>
      <c r="K8" s="177"/>
      <c r="L8" s="177"/>
      <c r="M8" s="177"/>
      <c r="N8" s="222"/>
    </row>
    <row r="9" spans="1:14" ht="15" customHeight="1" x14ac:dyDescent="0.25">
      <c r="A9" s="18"/>
      <c r="B9" s="242"/>
      <c r="C9" s="31" t="s">
        <v>201</v>
      </c>
      <c r="D9" s="243">
        <f>AVERAGE(D3:D8)</f>
        <v>-17.5</v>
      </c>
      <c r="E9" s="243">
        <f>AVERAGE(E3:E8)</f>
        <v>15</v>
      </c>
      <c r="F9" s="19"/>
      <c r="G9" s="243">
        <f>AVERAGE(G3:G8)</f>
        <v>-6.333333333333333</v>
      </c>
      <c r="H9" s="31" t="s">
        <v>202</v>
      </c>
      <c r="I9" s="32">
        <f ca="1">SUM(I3:I7)</f>
        <v>63485.75250509863</v>
      </c>
      <c r="J9" s="177"/>
      <c r="K9" s="209"/>
      <c r="L9" s="177"/>
      <c r="M9" s="177"/>
      <c r="N9" s="177"/>
    </row>
  </sheetData>
  <mergeCells count="1">
    <mergeCell ref="A1:I1"/>
  </mergeCells>
  <conditionalFormatting sqref="D3:D8 G3:G8">
    <cfRule type="cellIs" dxfId="40" priority="5" operator="equal">
      <formula>0</formula>
    </cfRule>
    <cfRule type="cellIs" dxfId="39" priority="6" operator="lessThan">
      <formula>0</formula>
    </cfRule>
    <cfRule type="cellIs" dxfId="38" priority="7" operator="greaterThan">
      <formula>0</formula>
    </cfRule>
  </conditionalFormatting>
  <conditionalFormatting sqref="I3:I9">
    <cfRule type="cellIs" dxfId="37" priority="2" operator="equal">
      <formula>0</formula>
    </cfRule>
    <cfRule type="cellIs" dxfId="36" priority="3" operator="lessThan">
      <formula>0</formula>
    </cfRule>
    <cfRule type="cellIs" dxfId="35" priority="4" operator="greaterThan">
      <formula>0</formula>
    </cfRule>
  </conditionalFormatting>
  <pageMargins left="0.25" right="0.25" top="0.75" bottom="0.75" header="0.511811023622047" footer="0.511811023622047"/>
  <pageSetup paperSize="9" orientation="landscape" horizontalDpi="300" verticalDpi="30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L20"/>
  <sheetViews>
    <sheetView zoomScale="130" zoomScaleNormal="130" workbookViewId="0">
      <selection activeCell="I3" sqref="I3"/>
    </sheetView>
  </sheetViews>
  <sheetFormatPr defaultColWidth="8.7109375" defaultRowHeight="15" x14ac:dyDescent="0.25"/>
  <cols>
    <col min="1" max="1" width="19.5703125" customWidth="1"/>
    <col min="2" max="3" width="13.28515625" customWidth="1"/>
    <col min="4" max="4" width="18.5703125" customWidth="1"/>
    <col min="5" max="6" width="14.140625" customWidth="1"/>
    <col min="7" max="7" width="19.28515625" customWidth="1"/>
    <col min="8" max="8" width="16.42578125" customWidth="1"/>
    <col min="9" max="12" width="14.5703125" customWidth="1"/>
  </cols>
  <sheetData>
    <row r="1" spans="1:12" ht="15" customHeight="1" x14ac:dyDescent="0.25">
      <c r="A1" s="339"/>
      <c r="B1" s="320"/>
      <c r="C1" s="320"/>
      <c r="D1" s="320"/>
      <c r="E1" s="320"/>
      <c r="F1" s="320"/>
      <c r="G1" s="320"/>
      <c r="H1" s="320"/>
      <c r="I1" s="320"/>
      <c r="J1" s="320"/>
      <c r="K1" s="320"/>
      <c r="L1" s="320"/>
    </row>
    <row r="2" spans="1:12" ht="45" customHeight="1" x14ac:dyDescent="0.25">
      <c r="A2" s="33" t="s">
        <v>189</v>
      </c>
      <c r="B2" s="15" t="s">
        <v>240</v>
      </c>
      <c r="C2" s="15" t="s">
        <v>241</v>
      </c>
      <c r="D2" s="15" t="s">
        <v>242</v>
      </c>
      <c r="E2" s="15" t="s">
        <v>207</v>
      </c>
      <c r="F2" s="15" t="s">
        <v>12</v>
      </c>
      <c r="G2" s="15" t="s">
        <v>208</v>
      </c>
      <c r="H2" s="15" t="s">
        <v>209</v>
      </c>
      <c r="I2" s="15" t="s">
        <v>243</v>
      </c>
      <c r="J2" s="15" t="s">
        <v>13</v>
      </c>
      <c r="K2" s="15" t="s">
        <v>244</v>
      </c>
      <c r="L2" s="15" t="s">
        <v>245</v>
      </c>
    </row>
    <row r="3" spans="1:12" ht="15" customHeight="1" x14ac:dyDescent="0.25">
      <c r="A3" s="20" t="str">
        <f>Deep_Dive!A19</f>
        <v>11-15 Station St</v>
      </c>
      <c r="B3" s="237">
        <f>Deep_Dive!B19</f>
        <v>493915</v>
      </c>
      <c r="C3" s="237">
        <f>Deep_Dive!C19</f>
        <v>522579.28</v>
      </c>
      <c r="D3" s="237">
        <f>Deep_Dive!D19</f>
        <v>524363.28</v>
      </c>
      <c r="E3" s="237">
        <f>Deep_Dive!F19</f>
        <v>170433.76</v>
      </c>
      <c r="F3" s="244">
        <f>Deep_Dive!G19</f>
        <v>0.24530006633304022</v>
      </c>
      <c r="G3" s="245">
        <f>Deep_Dive!H19</f>
        <v>0.2447</v>
      </c>
      <c r="H3" s="245">
        <f>Deep_Dive!I19</f>
        <v>0.26</v>
      </c>
      <c r="I3" s="34">
        <f ca="1">'Revised Client Price'!E1/'Revised Client Price'!D1</f>
        <v>2115.8562903225807</v>
      </c>
      <c r="J3" s="35">
        <f ca="1">Table6[[#This Row],[Daily Burn Rate]]*7</f>
        <v>14810.994032258064</v>
      </c>
      <c r="K3" s="36">
        <f>('Revised Client Price'!E1/Table6[[#This Row],[Revised Estimate ]])</f>
        <v>0.7530900765908668</v>
      </c>
      <c r="L3" s="37">
        <f ca="1">(C3/I3)-'Revised Client Price'!D1</f>
        <v>60.982407259960127</v>
      </c>
    </row>
    <row r="4" spans="1:12" ht="15" customHeight="1" x14ac:dyDescent="0.25">
      <c r="A4" s="20" t="str">
        <f>Deep_Dive!A20</f>
        <v>17 Glydon Ave</v>
      </c>
      <c r="B4" s="237">
        <f>Deep_Dive!B20</f>
        <v>861062.36</v>
      </c>
      <c r="C4" s="237">
        <f>Deep_Dive!C20</f>
        <v>918288.18</v>
      </c>
      <c r="D4" s="237">
        <f>Deep_Dive!D20</f>
        <v>923388.1</v>
      </c>
      <c r="E4" s="237">
        <f>Deep_Dive!F20</f>
        <v>309017.27999999991</v>
      </c>
      <c r="F4" s="244">
        <f>Deep_Dive!G20</f>
        <v>0.25074320918657456</v>
      </c>
      <c r="G4" s="245">
        <f>Deep_Dive!H20</f>
        <v>0.25469999999999998</v>
      </c>
      <c r="H4" s="245">
        <f>Deep_Dive!I20</f>
        <v>0.26</v>
      </c>
      <c r="I4" s="34">
        <f ca="1">'Revised Client Price'!E2/'Revised Client Price'!D2</f>
        <v>2266.4749450549452</v>
      </c>
      <c r="J4" s="35">
        <f ca="1">Table6[[#This Row],[Daily Burn Rate]]*7</f>
        <v>15865.324615384616</v>
      </c>
      <c r="K4" s="36">
        <f>('Revised Client Price'!E2/Table6[[#This Row],[Revised Estimate ]])</f>
        <v>0.44920369115499231</v>
      </c>
      <c r="L4" s="37">
        <f ca="1">(C4/I4)-'Revised Client Price'!D2</f>
        <v>223.16140802859763</v>
      </c>
    </row>
    <row r="5" spans="1:12" ht="15" customHeight="1" x14ac:dyDescent="0.25">
      <c r="A5" s="20" t="str">
        <f>Deep_Dive!A21</f>
        <v>29 River Gum Close</v>
      </c>
      <c r="B5" s="237">
        <f>Deep_Dive!B21</f>
        <v>190333</v>
      </c>
      <c r="C5" s="237">
        <f>Deep_Dive!C21</f>
        <v>226974.11</v>
      </c>
      <c r="D5" s="237">
        <f>Deep_Dive!D21</f>
        <v>153059.6</v>
      </c>
      <c r="E5" s="237">
        <f>Deep_Dive!F21</f>
        <v>152435.9</v>
      </c>
      <c r="F5" s="244">
        <f>Deep_Dive!G21</f>
        <v>0.49897919936627544</v>
      </c>
      <c r="G5" s="245">
        <f>Deep_Dive!H21</f>
        <v>0.33</v>
      </c>
      <c r="H5" s="245">
        <f>Deep_Dive!I21</f>
        <v>0.26</v>
      </c>
      <c r="I5" s="34">
        <f ca="1">'Revised Client Price'!E3/'Revised Client Price'!D3</f>
        <v>1521.1318181818183</v>
      </c>
      <c r="J5" s="35">
        <f ca="1">Table6[[#This Row],[Daily Burn Rate]]*7</f>
        <v>10647.922727272728</v>
      </c>
      <c r="K5" s="36">
        <f>('Revised Client Price'!E3/Table6[[#This Row],[Revised Estimate ]])</f>
        <v>0.58975713133096996</v>
      </c>
      <c r="L5" s="37">
        <f ca="1">(C5/I5)-'Revised Client Price'!D3</f>
        <v>61.213965079829904</v>
      </c>
    </row>
    <row r="6" spans="1:12" ht="15" customHeight="1" x14ac:dyDescent="0.25">
      <c r="A6" s="20" t="str">
        <f>Deep_Dive!A22</f>
        <v>30 Connelly</v>
      </c>
      <c r="B6" s="237">
        <f>Deep_Dive!B22</f>
        <v>334103.12</v>
      </c>
      <c r="C6" s="237">
        <f>Deep_Dive!C22</f>
        <v>337055.12</v>
      </c>
      <c r="D6" s="237">
        <f>Deep_Dive!D22</f>
        <v>327108.23</v>
      </c>
      <c r="E6" s="237">
        <f>Deep_Dive!F22</f>
        <v>115997.53000000003</v>
      </c>
      <c r="F6" s="244">
        <f>Deep_Dive!G22</f>
        <v>0.2617829431962248</v>
      </c>
      <c r="G6" s="245">
        <f>Deep_Dive!H22</f>
        <v>0.23910000000000001</v>
      </c>
      <c r="H6" s="245">
        <f>Deep_Dive!I22</f>
        <v>0.26</v>
      </c>
      <c r="I6" s="34">
        <f ca="1">'Revised Client Price'!E4/'Revised Client Price'!D4</f>
        <v>1091.017899159664</v>
      </c>
      <c r="J6" s="35">
        <f ca="1">Table6[[#This Row],[Daily Burn Rate]]*7</f>
        <v>7637.1252941176481</v>
      </c>
      <c r="K6" s="36">
        <f>('Revised Client Price'!E4/Table6[[#This Row],[Revised Estimate ]])</f>
        <v>0.38519257621720748</v>
      </c>
      <c r="L6" s="37">
        <f ca="1">(C6/I6)-'Revised Client Price'!D4</f>
        <v>189.93637974190005</v>
      </c>
    </row>
    <row r="7" spans="1:12" ht="15" customHeight="1" x14ac:dyDescent="0.25">
      <c r="A7" s="20" t="str">
        <f>Deep_Dive!A23</f>
        <v>37 Robinson Street</v>
      </c>
      <c r="B7" s="237">
        <f>Deep_Dive!B23</f>
        <v>549712.28</v>
      </c>
      <c r="C7" s="237">
        <f>Deep_Dive!C23</f>
        <v>611074.92000000004</v>
      </c>
      <c r="D7" s="237">
        <f>Deep_Dive!D23</f>
        <v>632848.24</v>
      </c>
      <c r="E7" s="237">
        <f>Deep_Dive!F23</f>
        <v>159652.75</v>
      </c>
      <c r="F7" s="244">
        <f>Deep_Dive!G23</f>
        <v>0.20145432247346468</v>
      </c>
      <c r="G7" s="245">
        <f>Deep_Dive!H23</f>
        <v>0.22040000000000001</v>
      </c>
      <c r="H7" s="245">
        <f>Deep_Dive!I23</f>
        <v>0.26</v>
      </c>
      <c r="I7" s="34">
        <f ca="1">'Revised Client Price'!E5/'Revised Client Price'!D5</f>
        <v>2074.9122622950817</v>
      </c>
      <c r="J7" s="35">
        <f ca="1">Table6[[#This Row],[Daily Burn Rate]]*7</f>
        <v>14524.385836065572</v>
      </c>
      <c r="K7" s="36">
        <f>('Revised Client Price'!E5/Table6[[#This Row],[Revised Estimate ]])</f>
        <v>1.0356311792341273</v>
      </c>
      <c r="L7" s="37">
        <f ca="1">(C7/I7)-'Revised Client Price'!D5</f>
        <v>-10.4936099687975</v>
      </c>
    </row>
    <row r="8" spans="1:12" ht="15" customHeight="1" x14ac:dyDescent="0.25">
      <c r="A8" s="16" t="str">
        <f>Deep_Dive!A24</f>
        <v xml:space="preserve">801 MHBR </v>
      </c>
      <c r="B8" s="237">
        <f>Deep_Dive!B24</f>
        <v>16900</v>
      </c>
      <c r="C8" s="237">
        <f>Deep_Dive!C24</f>
        <v>17560</v>
      </c>
      <c r="D8" s="237">
        <f>Deep_Dive!D24</f>
        <v>9321.9699999999993</v>
      </c>
      <c r="E8" s="237">
        <f>Deep_Dive!F24</f>
        <v>15214.17</v>
      </c>
      <c r="F8" s="244">
        <f>Deep_Dive!G24</f>
        <v>0.6200718613441234</v>
      </c>
      <c r="G8" s="245">
        <f>Deep_Dive!H24</f>
        <v>0.28370000000000001</v>
      </c>
      <c r="H8" s="246"/>
      <c r="I8" s="34">
        <f ca="1">'Revised Client Price'!E6/'Revised Client Price'!D6</f>
        <v>141.24196969696968</v>
      </c>
      <c r="J8" s="35">
        <f ca="1">Table6[[#This Row],[Daily Burn Rate]]*7</f>
        <v>988.6937878787877</v>
      </c>
      <c r="K8" s="36">
        <f>('Revised Client Price'!E6/Table6[[#This Row],[Revised Estimate ]])</f>
        <v>0.53086389521640087</v>
      </c>
      <c r="L8" s="37">
        <f ca="1">(C8/I8)-'Revised Client Price'!D6</f>
        <v>58.325652195834166</v>
      </c>
    </row>
    <row r="9" spans="1:12" ht="30" customHeight="1" x14ac:dyDescent="0.25">
      <c r="A9" s="38" t="s">
        <v>246</v>
      </c>
      <c r="B9" s="39">
        <f>SUM(B3:B8)</f>
        <v>2446025.7599999998</v>
      </c>
      <c r="C9" s="39">
        <f>SUM(C3:C8)</f>
        <v>2633531.61</v>
      </c>
      <c r="D9" s="39">
        <f>SUM(D3:D8)</f>
        <v>2570089.4200000004</v>
      </c>
      <c r="E9" s="39">
        <f>SUM(E3:E8)</f>
        <v>922751.39</v>
      </c>
      <c r="F9" s="40">
        <f>AVERAGE(F3:F8)</f>
        <v>0.34638860031661717</v>
      </c>
      <c r="G9" s="41">
        <f>Deep_Dive!H25</f>
        <v>0.2621</v>
      </c>
      <c r="H9" s="247">
        <f>SUBTOTAL(101,H3:H7)</f>
        <v>0.26</v>
      </c>
      <c r="I9" s="177"/>
      <c r="J9" s="248"/>
      <c r="K9" s="248"/>
      <c r="L9" s="248"/>
    </row>
    <row r="10" spans="1:12" ht="15" customHeight="1" x14ac:dyDescent="0.25">
      <c r="A10" s="16"/>
      <c r="B10" s="237"/>
      <c r="C10" s="237"/>
      <c r="D10" s="237"/>
      <c r="E10" s="237"/>
      <c r="F10" s="244"/>
      <c r="G10" s="245"/>
      <c r="H10" s="249" t="s">
        <v>247</v>
      </c>
      <c r="I10" s="42">
        <f ca="1">SUBTOTAL(109,I3:I9)</f>
        <v>9210.63518471106</v>
      </c>
      <c r="J10" s="42">
        <f ca="1">SUM(J3:J9)</f>
        <v>64474.446292977416</v>
      </c>
      <c r="K10" s="43"/>
      <c r="L10" s="44"/>
    </row>
    <row r="11" spans="1:12" ht="15" customHeight="1" x14ac:dyDescent="0.25">
      <c r="A11" s="45"/>
      <c r="B11" s="45"/>
      <c r="C11" s="45"/>
      <c r="D11" s="45"/>
      <c r="E11" s="45"/>
      <c r="F11" s="45"/>
      <c r="G11" s="45"/>
      <c r="H11" s="45"/>
      <c r="I11" s="177"/>
      <c r="J11" s="177"/>
      <c r="K11" s="177"/>
      <c r="L11" s="177"/>
    </row>
    <row r="12" spans="1:12" ht="15" customHeight="1" x14ac:dyDescent="0.25">
      <c r="A12" s="45"/>
      <c r="B12" s="45"/>
      <c r="C12" s="45"/>
      <c r="D12" s="45"/>
      <c r="E12" s="45"/>
      <c r="F12" s="45"/>
      <c r="G12" s="45"/>
      <c r="H12" s="45"/>
      <c r="I12" s="177"/>
      <c r="J12" s="177"/>
      <c r="K12" s="177"/>
      <c r="L12" s="177"/>
    </row>
    <row r="13" spans="1:12" ht="15" customHeight="1" x14ac:dyDescent="0.25">
      <c r="A13" s="46"/>
      <c r="B13" s="45"/>
      <c r="C13" s="45"/>
      <c r="D13" s="45"/>
      <c r="E13" s="45"/>
      <c r="F13" s="341"/>
      <c r="G13" s="320"/>
      <c r="H13" s="320"/>
      <c r="I13" s="177"/>
      <c r="J13" s="177"/>
      <c r="K13" s="177"/>
      <c r="L13" s="177"/>
    </row>
    <row r="14" spans="1:12" ht="15" customHeight="1" x14ac:dyDescent="0.25">
      <c r="A14" s="340"/>
      <c r="B14" s="320"/>
      <c r="C14" s="47"/>
      <c r="D14" s="45"/>
      <c r="E14" s="45"/>
      <c r="F14" s="48"/>
      <c r="G14" s="49"/>
      <c r="H14" s="48"/>
      <c r="I14" s="177"/>
      <c r="J14" s="177"/>
      <c r="K14" s="177"/>
      <c r="L14" s="177"/>
    </row>
    <row r="15" spans="1:12" ht="15" customHeight="1" x14ac:dyDescent="0.25">
      <c r="A15" s="340"/>
      <c r="B15" s="320"/>
      <c r="C15" s="50"/>
      <c r="D15" s="45"/>
      <c r="E15" s="45"/>
      <c r="F15" s="51"/>
      <c r="G15" s="45"/>
      <c r="H15" s="52"/>
      <c r="I15" s="177"/>
      <c r="J15" s="177"/>
      <c r="K15" s="177"/>
      <c r="L15" s="177"/>
    </row>
    <row r="16" spans="1:12" ht="15" customHeight="1" x14ac:dyDescent="0.25">
      <c r="A16" s="340"/>
      <c r="B16" s="320"/>
      <c r="C16" s="53"/>
      <c r="D16" s="45"/>
      <c r="E16" s="45"/>
      <c r="F16" s="51"/>
      <c r="G16" s="52"/>
      <c r="H16" s="52"/>
      <c r="I16" s="177"/>
      <c r="J16" s="177"/>
      <c r="K16" s="177"/>
      <c r="L16" s="177"/>
    </row>
    <row r="17" spans="1:12" ht="15" customHeight="1" x14ac:dyDescent="0.25">
      <c r="A17" s="340"/>
      <c r="B17" s="320"/>
      <c r="C17" s="47"/>
      <c r="D17" s="45"/>
      <c r="E17" s="45"/>
      <c r="F17" s="51"/>
      <c r="G17" s="52"/>
      <c r="H17" s="52"/>
      <c r="I17" s="177"/>
      <c r="J17" s="177"/>
      <c r="K17" s="177"/>
      <c r="L17" s="177"/>
    </row>
    <row r="18" spans="1:12" ht="15" customHeight="1" x14ac:dyDescent="0.25">
      <c r="A18" s="45"/>
      <c r="B18" s="45"/>
      <c r="C18" s="45"/>
      <c r="D18" s="45"/>
      <c r="E18" s="45"/>
      <c r="F18" s="51"/>
      <c r="G18" s="52"/>
      <c r="H18" s="52"/>
      <c r="I18" s="177"/>
      <c r="J18" s="177"/>
      <c r="K18" s="177"/>
      <c r="L18" s="177"/>
    </row>
    <row r="19" spans="1:12" ht="15" customHeight="1" x14ac:dyDescent="0.25">
      <c r="A19" s="45"/>
      <c r="B19" s="45"/>
      <c r="C19" s="45"/>
      <c r="D19" s="45"/>
      <c r="E19" s="45"/>
      <c r="F19" s="45"/>
      <c r="G19" s="45"/>
      <c r="H19" s="45"/>
      <c r="I19" s="177"/>
      <c r="J19" s="177"/>
      <c r="K19" s="177"/>
      <c r="L19" s="177"/>
    </row>
    <row r="20" spans="1:12" ht="15" customHeight="1" x14ac:dyDescent="0.25">
      <c r="A20" s="45"/>
      <c r="B20" s="45"/>
      <c r="C20" s="45"/>
      <c r="D20" s="45"/>
      <c r="E20" s="45"/>
      <c r="F20" s="45"/>
      <c r="G20" s="45"/>
      <c r="H20" s="45"/>
      <c r="I20" s="177"/>
      <c r="J20" s="177"/>
      <c r="K20" s="177"/>
      <c r="L20" s="177"/>
    </row>
  </sheetData>
  <mergeCells count="6">
    <mergeCell ref="A17:B17"/>
    <mergeCell ref="A16:B16"/>
    <mergeCell ref="A15:B15"/>
    <mergeCell ref="F13:H13"/>
    <mergeCell ref="A1:L1"/>
    <mergeCell ref="A14:B14"/>
  </mergeCells>
  <conditionalFormatting sqref="F3:F8">
    <cfRule type="cellIs" dxfId="34" priority="8" operator="equal">
      <formula>$G$3</formula>
    </cfRule>
    <cfRule type="cellIs" dxfId="33" priority="9" operator="lessThan">
      <formula>$G$3</formula>
    </cfRule>
    <cfRule type="cellIs" dxfId="32" priority="10" operator="greaterThan">
      <formula>$G$3</formula>
    </cfRule>
    <cfRule type="cellIs" dxfId="31" priority="11" operator="equal">
      <formula>$G$66</formula>
    </cfRule>
    <cfRule type="cellIs" dxfId="30" priority="12" operator="lessThan">
      <formula>$G$66</formula>
    </cfRule>
    <cfRule type="cellIs" dxfId="29" priority="13" operator="greaterThan">
      <formula>$G$66</formula>
    </cfRule>
  </conditionalFormatting>
  <conditionalFormatting sqref="F10">
    <cfRule type="cellIs" dxfId="28" priority="2" operator="equal">
      <formula>$G$3</formula>
    </cfRule>
    <cfRule type="cellIs" dxfId="27" priority="3" operator="lessThan">
      <formula>$G$3</formula>
    </cfRule>
    <cfRule type="cellIs" dxfId="26" priority="4" operator="greaterThan">
      <formula>$G$3</formula>
    </cfRule>
    <cfRule type="cellIs" dxfId="25" priority="5" operator="equal">
      <formula>$G$66</formula>
    </cfRule>
    <cfRule type="cellIs" dxfId="24" priority="6" operator="lessThan">
      <formula>$G$66</formula>
    </cfRule>
    <cfRule type="cellIs" dxfId="23" priority="7" operator="greaterThan">
      <formula>$G$66</formula>
    </cfRule>
  </conditionalFormatting>
  <dataValidations count="1">
    <dataValidation type="list" showInputMessage="1" showErrorMessage="1" sqref="F13" xr:uid="{00000000-0002-0000-0800-000000000000}">
      <formula1>$F$15:$F$18</formula1>
      <formula2>0</formula2>
    </dataValidation>
  </dataValidations>
  <pageMargins left="0.25" right="0.25" top="0.75" bottom="0.75" header="0.511811023622047" footer="0.511811023622047"/>
  <pageSetup paperSize="9" orientation="landscape" horizontalDpi="300" verticalDpi="30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"/>
  <sheetViews>
    <sheetView zoomScaleNormal="100" workbookViewId="0">
      <selection activeCell="U41" sqref="U41"/>
    </sheetView>
  </sheetViews>
  <sheetFormatPr defaultColWidth="8.7109375" defaultRowHeight="15" x14ac:dyDescent="0.25"/>
  <sheetData>
    <row r="1" spans="1:1" ht="15" customHeight="1" x14ac:dyDescent="0.25">
      <c r="A1" s="177" t="s">
        <v>248</v>
      </c>
    </row>
  </sheetData>
  <pageMargins left="0.7" right="0.7" top="0.75" bottom="0.75" header="0.511811023622047" footer="0.511811023622047"/>
  <pageSetup paperSize="9" orientation="portrait" horizontalDpi="300" verticalDpi="30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dimension ref="A1:J45"/>
  <sheetViews>
    <sheetView zoomScaleNormal="100" workbookViewId="0">
      <selection activeCell="H35" sqref="H35"/>
    </sheetView>
  </sheetViews>
  <sheetFormatPr defaultColWidth="8.7109375" defaultRowHeight="15" x14ac:dyDescent="0.25"/>
  <cols>
    <col min="1" max="10" width="31.28515625" customWidth="1"/>
  </cols>
  <sheetData>
    <row r="1" spans="1:10" x14ac:dyDescent="0.25">
      <c r="A1" s="177"/>
      <c r="B1" s="177"/>
      <c r="C1" s="177"/>
      <c r="D1" s="177"/>
      <c r="E1" s="177"/>
      <c r="F1" s="177"/>
      <c r="G1" s="177"/>
      <c r="H1" s="177"/>
      <c r="I1" s="177"/>
      <c r="J1" s="177"/>
    </row>
    <row r="2" spans="1:10" x14ac:dyDescent="0.25">
      <c r="A2" s="177"/>
      <c r="B2" s="177"/>
      <c r="C2" s="177"/>
      <c r="D2" s="177"/>
      <c r="E2" s="177"/>
      <c r="F2" s="177"/>
      <c r="G2" s="177"/>
      <c r="H2" s="177"/>
      <c r="I2" s="177"/>
      <c r="J2" s="177"/>
    </row>
    <row r="3" spans="1:10" ht="21" customHeight="1" x14ac:dyDescent="0.35">
      <c r="A3" s="250" t="s">
        <v>249</v>
      </c>
      <c r="B3" s="177"/>
      <c r="C3" s="177"/>
      <c r="D3" s="343" t="s">
        <v>250</v>
      </c>
      <c r="E3" s="320"/>
      <c r="F3" s="320"/>
      <c r="G3" s="320"/>
      <c r="H3" s="320"/>
      <c r="I3" s="320"/>
      <c r="J3" s="320"/>
    </row>
    <row r="4" spans="1:10" ht="15" customHeight="1" x14ac:dyDescent="0.25">
      <c r="A4" s="55" t="s">
        <v>251</v>
      </c>
      <c r="B4" s="177"/>
      <c r="C4" s="177"/>
      <c r="D4" s="56">
        <f ca="1">NOW()</f>
        <v>46156.35136724537</v>
      </c>
      <c r="E4" s="177"/>
      <c r="F4" s="177"/>
      <c r="G4" s="177"/>
      <c r="H4" s="177"/>
      <c r="I4" s="177"/>
      <c r="J4" s="177"/>
    </row>
    <row r="5" spans="1:10" ht="15" customHeight="1" x14ac:dyDescent="0.25">
      <c r="A5" s="177"/>
      <c r="B5" s="344" t="s">
        <v>252</v>
      </c>
      <c r="C5" s="320"/>
      <c r="D5" s="320"/>
      <c r="E5" s="320"/>
      <c r="F5" s="251"/>
      <c r="G5" s="57" t="s">
        <v>253</v>
      </c>
      <c r="H5" s="344" t="s">
        <v>254</v>
      </c>
      <c r="I5" s="320"/>
      <c r="J5" s="320"/>
    </row>
    <row r="6" spans="1:10" ht="30" customHeight="1" x14ac:dyDescent="0.25">
      <c r="A6" s="15" t="s">
        <v>189</v>
      </c>
      <c r="B6" s="15" t="s">
        <v>191</v>
      </c>
      <c r="C6" s="15" t="s">
        <v>255</v>
      </c>
      <c r="D6" s="15" t="s">
        <v>256</v>
      </c>
      <c r="E6" s="15" t="s">
        <v>257</v>
      </c>
      <c r="F6" s="15" t="s">
        <v>258</v>
      </c>
      <c r="G6" s="252" t="s">
        <v>259</v>
      </c>
      <c r="H6" s="15" t="s">
        <v>221</v>
      </c>
      <c r="I6" s="15" t="s">
        <v>256</v>
      </c>
      <c r="J6" s="15" t="s">
        <v>257</v>
      </c>
    </row>
    <row r="7" spans="1:10" ht="15" customHeight="1" x14ac:dyDescent="0.25">
      <c r="A7" s="16" t="s">
        <v>260</v>
      </c>
      <c r="B7" s="253">
        <v>45968</v>
      </c>
      <c r="C7" s="254">
        <v>15</v>
      </c>
      <c r="D7" s="253">
        <v>45964</v>
      </c>
      <c r="E7" s="255" t="e">
        <f>NETWORKDAYS(D7,B7,'Public Holidays'!#REF!)</f>
        <v>#REF!</v>
      </c>
      <c r="F7" s="58">
        <f t="shared" ref="F7:F13" si="0">B7+C7</f>
        <v>45983</v>
      </c>
      <c r="G7" s="256" t="s">
        <v>261</v>
      </c>
      <c r="H7" s="253">
        <v>45959</v>
      </c>
      <c r="I7" s="253">
        <f t="shared" ref="I7:I13" si="1">D7</f>
        <v>45964</v>
      </c>
      <c r="J7" s="255" t="e">
        <f>NETWORKDAYS(H7,I7,'Public Holidays'!#REF!)</f>
        <v>#REF!</v>
      </c>
    </row>
    <row r="8" spans="1:10" ht="15" customHeight="1" x14ac:dyDescent="0.25">
      <c r="A8" s="21" t="s">
        <v>262</v>
      </c>
      <c r="B8" s="257">
        <v>46063</v>
      </c>
      <c r="C8" s="258">
        <v>30</v>
      </c>
      <c r="D8" s="257">
        <v>46118</v>
      </c>
      <c r="E8" s="255" t="e">
        <f>NETWORKDAYS(D8,B8,'Public Holidays'!#REF!)</f>
        <v>#REF!</v>
      </c>
      <c r="F8" s="58">
        <f t="shared" si="0"/>
        <v>46093</v>
      </c>
      <c r="G8" s="259" t="s">
        <v>263</v>
      </c>
      <c r="H8" s="257">
        <v>46013</v>
      </c>
      <c r="I8" s="257">
        <f t="shared" si="1"/>
        <v>46118</v>
      </c>
      <c r="J8" s="255" t="e">
        <f>NETWORKDAYS(H8,I8,'Public Holidays'!#REF!)</f>
        <v>#REF!</v>
      </c>
    </row>
    <row r="9" spans="1:10" ht="15" customHeight="1" x14ac:dyDescent="0.25">
      <c r="A9" s="16" t="s">
        <v>122</v>
      </c>
      <c r="B9" s="253">
        <v>46080</v>
      </c>
      <c r="C9" s="254">
        <v>6</v>
      </c>
      <c r="D9" s="253">
        <v>46062</v>
      </c>
      <c r="E9" s="255" t="e">
        <f>NETWORKDAYS(D9,B9,'Public Holidays'!A14:A15)</f>
        <v>#VALUE!</v>
      </c>
      <c r="F9" s="58">
        <f t="shared" si="0"/>
        <v>46086</v>
      </c>
      <c r="G9" s="59" t="s">
        <v>264</v>
      </c>
      <c r="H9" s="253">
        <v>46062</v>
      </c>
      <c r="I9" s="253">
        <f t="shared" si="1"/>
        <v>46062</v>
      </c>
      <c r="J9" s="255" t="e">
        <f>NETWORKDAYS(H9,I9,'Public Holidays'!A14:A15)</f>
        <v>#VALUE!</v>
      </c>
    </row>
    <row r="10" spans="1:10" ht="15" customHeight="1" x14ac:dyDescent="0.25">
      <c r="A10" s="21" t="s">
        <v>265</v>
      </c>
      <c r="B10" s="257">
        <v>45919</v>
      </c>
      <c r="C10" s="258">
        <v>33</v>
      </c>
      <c r="D10" s="257">
        <v>45922</v>
      </c>
      <c r="E10" s="255" t="e">
        <f>NETWORKDAYS(D10,B10,'Public Holidays'!A14:A16)</f>
        <v>#VALUE!</v>
      </c>
      <c r="F10" s="58">
        <f t="shared" si="0"/>
        <v>45952</v>
      </c>
      <c r="G10" s="58" t="s">
        <v>266</v>
      </c>
      <c r="H10" s="257">
        <v>45939</v>
      </c>
      <c r="I10" s="257">
        <f t="shared" si="1"/>
        <v>45922</v>
      </c>
      <c r="J10" s="255" t="e">
        <f>NETWORKDAYS(H10,I10,'Public Holidays'!A14:A16)</f>
        <v>#VALUE!</v>
      </c>
    </row>
    <row r="11" spans="1:10" ht="15" customHeight="1" x14ac:dyDescent="0.25">
      <c r="A11" s="16" t="s">
        <v>267</v>
      </c>
      <c r="B11" s="253">
        <v>45937</v>
      </c>
      <c r="C11" s="254">
        <v>7</v>
      </c>
      <c r="D11" s="253">
        <v>45978</v>
      </c>
      <c r="E11" s="255" t="e">
        <f>NETWORKDAYS(D11,B11,'Public Holidays'!A14:A17)</f>
        <v>#VALUE!</v>
      </c>
      <c r="F11" s="58">
        <f t="shared" si="0"/>
        <v>45944</v>
      </c>
      <c r="G11" s="260"/>
      <c r="H11" s="253">
        <v>45924</v>
      </c>
      <c r="I11" s="253">
        <f t="shared" si="1"/>
        <v>45978</v>
      </c>
      <c r="J11" s="255" t="e">
        <f>NETWORKDAYS(H11,I11,'Public Holidays'!A14:A17)</f>
        <v>#VALUE!</v>
      </c>
    </row>
    <row r="12" spans="1:10" ht="15" customHeight="1" x14ac:dyDescent="0.25">
      <c r="A12" s="21" t="s">
        <v>130</v>
      </c>
      <c r="B12" s="257">
        <v>46097</v>
      </c>
      <c r="C12" s="258">
        <v>30</v>
      </c>
      <c r="D12" s="257">
        <v>46084</v>
      </c>
      <c r="E12" s="255" t="e">
        <f>NETWORKDAYS(D12,B12,'Public Holidays'!A15:A18)</f>
        <v>#VALUE!</v>
      </c>
      <c r="F12" s="58">
        <f t="shared" si="0"/>
        <v>46127</v>
      </c>
      <c r="G12" s="260"/>
      <c r="H12" s="257">
        <v>45988</v>
      </c>
      <c r="I12" s="257">
        <f t="shared" si="1"/>
        <v>46084</v>
      </c>
      <c r="J12" s="255" t="e">
        <f>NETWORKDAYS(H12,I12,'Public Holidays'!A15:A18)</f>
        <v>#VALUE!</v>
      </c>
    </row>
    <row r="13" spans="1:10" ht="15" customHeight="1" x14ac:dyDescent="0.25">
      <c r="A13" s="16" t="s">
        <v>268</v>
      </c>
      <c r="B13" s="253">
        <v>45979</v>
      </c>
      <c r="C13" s="254">
        <v>9</v>
      </c>
      <c r="D13" s="253">
        <v>45975</v>
      </c>
      <c r="E13" s="255" t="e">
        <f>NETWORKDAYS(D13,B13,'Public Holidays'!A16:A19)</f>
        <v>#VALUE!</v>
      </c>
      <c r="F13" s="58">
        <f t="shared" si="0"/>
        <v>45988</v>
      </c>
      <c r="G13" s="260"/>
      <c r="H13" s="253">
        <v>45940</v>
      </c>
      <c r="I13" s="253">
        <f t="shared" si="1"/>
        <v>45975</v>
      </c>
      <c r="J13" s="255" t="e">
        <f>NETWORKDAYS(H13,I13,'Public Holidays'!A16:A19)</f>
        <v>#VALUE!</v>
      </c>
    </row>
    <row r="14" spans="1:10" ht="15" customHeight="1" x14ac:dyDescent="0.25">
      <c r="A14" s="60" t="s">
        <v>269</v>
      </c>
      <c r="B14" s="261"/>
      <c r="C14" s="261"/>
      <c r="D14" s="261"/>
      <c r="E14" s="262" t="e">
        <f>AVERAGE(E7:E13)</f>
        <v>#REF!</v>
      </c>
      <c r="F14" s="261"/>
      <c r="G14" s="263"/>
      <c r="H14" s="258"/>
      <c r="I14" s="258"/>
      <c r="J14" s="262" t="e">
        <f>AVERAGE(J7:J13)</f>
        <v>#REF!</v>
      </c>
    </row>
    <row r="15" spans="1:10" ht="15" customHeight="1" x14ac:dyDescent="0.25">
      <c r="A15" s="177"/>
      <c r="B15" s="177"/>
      <c r="C15" s="177"/>
      <c r="D15" s="177"/>
      <c r="E15" s="177"/>
      <c r="F15" s="177"/>
      <c r="G15" s="177"/>
      <c r="H15" s="264"/>
      <c r="I15" s="177"/>
      <c r="J15" s="177"/>
    </row>
    <row r="16" spans="1:10" ht="15" customHeight="1" x14ac:dyDescent="0.25">
      <c r="A16" s="177"/>
      <c r="B16" s="177"/>
      <c r="C16" s="177"/>
      <c r="D16" s="177"/>
      <c r="E16" s="177"/>
      <c r="F16" s="177"/>
      <c r="G16" s="177"/>
      <c r="H16" s="264"/>
      <c r="I16" s="177"/>
      <c r="J16" s="177"/>
    </row>
    <row r="17" spans="1:10" ht="15" customHeight="1" x14ac:dyDescent="0.25">
      <c r="A17" s="177"/>
      <c r="B17" s="177"/>
      <c r="C17" s="177"/>
      <c r="D17" s="177"/>
      <c r="E17" s="177"/>
      <c r="F17" s="177"/>
      <c r="G17" s="177"/>
      <c r="H17" s="264"/>
      <c r="I17" s="177"/>
      <c r="J17" s="177"/>
    </row>
    <row r="18" spans="1:10" ht="15" customHeight="1" x14ac:dyDescent="0.25">
      <c r="A18" s="177"/>
      <c r="B18" s="177"/>
      <c r="C18" s="177"/>
      <c r="D18" s="177"/>
      <c r="E18" s="177"/>
      <c r="F18" s="177"/>
      <c r="G18" s="177"/>
      <c r="H18" s="264"/>
      <c r="I18" s="177"/>
      <c r="J18" s="177"/>
    </row>
    <row r="19" spans="1:10" ht="15" customHeight="1" x14ac:dyDescent="0.25">
      <c r="A19" s="250" t="s">
        <v>249</v>
      </c>
      <c r="B19" s="177"/>
      <c r="C19" s="177"/>
      <c r="D19" s="177"/>
      <c r="E19" s="177"/>
      <c r="F19" s="177"/>
      <c r="G19" s="177"/>
      <c r="H19" s="264"/>
      <c r="I19" s="177"/>
      <c r="J19" s="177"/>
    </row>
    <row r="20" spans="1:10" ht="15" customHeight="1" x14ac:dyDescent="0.25">
      <c r="A20" s="55" t="s">
        <v>251</v>
      </c>
      <c r="B20" s="177"/>
      <c r="C20" s="177"/>
      <c r="D20" s="177"/>
      <c r="E20" s="177"/>
      <c r="F20" s="177"/>
      <c r="G20" s="177"/>
      <c r="H20" s="177"/>
      <c r="I20" s="177"/>
      <c r="J20" s="177"/>
    </row>
    <row r="21" spans="1:10" ht="15" customHeight="1" x14ac:dyDescent="0.25">
      <c r="A21" s="177"/>
      <c r="B21" s="344" t="s">
        <v>270</v>
      </c>
      <c r="C21" s="320"/>
      <c r="D21" s="320"/>
      <c r="E21" s="251"/>
      <c r="F21" s="251"/>
      <c r="G21" s="177"/>
      <c r="H21" s="177"/>
      <c r="I21" s="177"/>
      <c r="J21" s="177"/>
    </row>
    <row r="22" spans="1:10" ht="30" customHeight="1" x14ac:dyDescent="0.25">
      <c r="A22" s="15" t="s">
        <v>189</v>
      </c>
      <c r="B22" s="15" t="s">
        <v>221</v>
      </c>
      <c r="C22" s="15" t="s">
        <v>191</v>
      </c>
      <c r="D22" s="15" t="s">
        <v>257</v>
      </c>
      <c r="E22" s="15" t="s">
        <v>255</v>
      </c>
      <c r="F22" s="15" t="s">
        <v>258</v>
      </c>
      <c r="G22" s="177"/>
      <c r="H22" s="177"/>
      <c r="I22" s="177"/>
      <c r="J22" s="177"/>
    </row>
    <row r="23" spans="1:10" ht="15" customHeight="1" x14ac:dyDescent="0.25">
      <c r="A23" s="16" t="s">
        <v>260</v>
      </c>
      <c r="B23" s="253">
        <f t="shared" ref="B23:B29" si="2">H7</f>
        <v>45959</v>
      </c>
      <c r="C23" s="253">
        <f t="shared" ref="C23:C29" si="3">B7</f>
        <v>45968</v>
      </c>
      <c r="D23" s="265" t="e">
        <f>NETWORKDAYS(B23,C23,'Public Holidays'!#REF!)</f>
        <v>#REF!</v>
      </c>
      <c r="E23" s="266">
        <v>15</v>
      </c>
      <c r="F23" s="58">
        <f t="shared" ref="F23:F29" si="4">E23+C23</f>
        <v>45983</v>
      </c>
      <c r="G23" s="177"/>
      <c r="H23" s="177"/>
      <c r="I23" s="177"/>
      <c r="J23" s="177"/>
    </row>
    <row r="24" spans="1:10" ht="15" customHeight="1" x14ac:dyDescent="0.25">
      <c r="A24" s="21" t="s">
        <v>262</v>
      </c>
      <c r="B24" s="257">
        <f t="shared" si="2"/>
        <v>46013</v>
      </c>
      <c r="C24" s="257">
        <f t="shared" si="3"/>
        <v>46063</v>
      </c>
      <c r="D24" s="265" t="e">
        <f>NETWORKDAYS(B24,C24,'Public Holidays'!#REF!)</f>
        <v>#REF!</v>
      </c>
      <c r="E24" s="266">
        <v>30</v>
      </c>
      <c r="F24" s="58">
        <f t="shared" si="4"/>
        <v>46093</v>
      </c>
      <c r="G24" s="177"/>
      <c r="H24" s="177"/>
      <c r="I24" s="177"/>
      <c r="J24" s="177"/>
    </row>
    <row r="25" spans="1:10" ht="15" customHeight="1" x14ac:dyDescent="0.25">
      <c r="A25" s="16" t="s">
        <v>122</v>
      </c>
      <c r="B25" s="253">
        <f t="shared" si="2"/>
        <v>46062</v>
      </c>
      <c r="C25" s="253">
        <f t="shared" si="3"/>
        <v>46080</v>
      </c>
      <c r="D25" s="265" t="e">
        <f>NETWORKDAYS(B25,C25,'Public Holidays'!A14:A15)</f>
        <v>#VALUE!</v>
      </c>
      <c r="E25" s="266">
        <v>6</v>
      </c>
      <c r="F25" s="58">
        <f t="shared" si="4"/>
        <v>46086</v>
      </c>
      <c r="G25" s="177"/>
      <c r="H25" s="177"/>
      <c r="I25" s="177"/>
      <c r="J25" s="177"/>
    </row>
    <row r="26" spans="1:10" ht="15" customHeight="1" x14ac:dyDescent="0.25">
      <c r="A26" s="21" t="s">
        <v>265</v>
      </c>
      <c r="B26" s="257">
        <f t="shared" si="2"/>
        <v>45939</v>
      </c>
      <c r="C26" s="257">
        <f t="shared" si="3"/>
        <v>45919</v>
      </c>
      <c r="D26" s="265" t="e">
        <f>NETWORKDAYS(B26,C26,'Public Holidays'!A14:A16)</f>
        <v>#VALUE!</v>
      </c>
      <c r="E26" s="266">
        <v>33</v>
      </c>
      <c r="F26" s="58">
        <f t="shared" si="4"/>
        <v>45952</v>
      </c>
      <c r="G26" s="177"/>
      <c r="H26" s="177"/>
      <c r="I26" s="177"/>
      <c r="J26" s="177"/>
    </row>
    <row r="27" spans="1:10" ht="15" customHeight="1" x14ac:dyDescent="0.25">
      <c r="A27" s="16" t="s">
        <v>267</v>
      </c>
      <c r="B27" s="253">
        <f t="shared" si="2"/>
        <v>45924</v>
      </c>
      <c r="C27" s="253">
        <f t="shared" si="3"/>
        <v>45937</v>
      </c>
      <c r="D27" s="265" t="e">
        <f>NETWORKDAYS(B27,C27,'Public Holidays'!A14:A17)</f>
        <v>#VALUE!</v>
      </c>
      <c r="E27" s="266">
        <v>7</v>
      </c>
      <c r="F27" s="58">
        <f t="shared" si="4"/>
        <v>45944</v>
      </c>
      <c r="G27" s="177"/>
      <c r="H27" s="177"/>
      <c r="I27" s="177"/>
      <c r="J27" s="177"/>
    </row>
    <row r="28" spans="1:10" ht="15" customHeight="1" x14ac:dyDescent="0.25">
      <c r="A28" s="21" t="s">
        <v>130</v>
      </c>
      <c r="B28" s="257">
        <f t="shared" si="2"/>
        <v>45988</v>
      </c>
      <c r="C28" s="257">
        <f t="shared" si="3"/>
        <v>46097</v>
      </c>
      <c r="D28" s="265" t="e">
        <f>NETWORKDAYS(B28,C28,'Public Holidays'!A15:A18)</f>
        <v>#VALUE!</v>
      </c>
      <c r="E28" s="266">
        <v>30</v>
      </c>
      <c r="F28" s="58">
        <f t="shared" si="4"/>
        <v>46127</v>
      </c>
      <c r="G28" s="177"/>
      <c r="H28" s="177"/>
      <c r="I28" s="177"/>
      <c r="J28" s="177"/>
    </row>
    <row r="29" spans="1:10" ht="15" customHeight="1" x14ac:dyDescent="0.25">
      <c r="A29" s="16" t="s">
        <v>268</v>
      </c>
      <c r="B29" s="253">
        <f t="shared" si="2"/>
        <v>45940</v>
      </c>
      <c r="C29" s="253">
        <f t="shared" si="3"/>
        <v>45979</v>
      </c>
      <c r="D29" s="265" t="e">
        <f>NETWORKDAYS(B29,C29,'Public Holidays'!A16:A19)</f>
        <v>#VALUE!</v>
      </c>
      <c r="E29" s="266">
        <v>9</v>
      </c>
      <c r="F29" s="58">
        <f t="shared" si="4"/>
        <v>45988</v>
      </c>
      <c r="G29" s="177"/>
      <c r="H29" s="177"/>
      <c r="I29" s="177"/>
      <c r="J29" s="177"/>
    </row>
    <row r="30" spans="1:10" ht="15" customHeight="1" x14ac:dyDescent="0.25">
      <c r="A30" s="60" t="s">
        <v>269</v>
      </c>
      <c r="B30" s="258"/>
      <c r="C30" s="258"/>
      <c r="D30" s="258" t="e">
        <f>AVERAGE(D23:D29)</f>
        <v>#REF!</v>
      </c>
      <c r="E30" s="261"/>
      <c r="F30" s="261"/>
      <c r="G30" s="177"/>
      <c r="H30" s="177"/>
      <c r="I30" s="177"/>
      <c r="J30" s="177"/>
    </row>
    <row r="31" spans="1:10" x14ac:dyDescent="0.25">
      <c r="A31" s="177"/>
      <c r="B31" s="177"/>
      <c r="C31" s="177"/>
      <c r="D31" s="177"/>
      <c r="E31" s="177"/>
      <c r="F31" s="177"/>
      <c r="G31" s="177"/>
      <c r="H31" s="177"/>
      <c r="I31" s="177"/>
      <c r="J31" s="177"/>
    </row>
    <row r="32" spans="1:10" x14ac:dyDescent="0.25">
      <c r="A32" s="177"/>
      <c r="B32" s="177"/>
      <c r="C32" s="177"/>
      <c r="D32" s="177"/>
      <c r="E32" s="177"/>
      <c r="F32" s="177"/>
      <c r="G32" s="177"/>
      <c r="H32" s="177"/>
      <c r="I32" s="177"/>
      <c r="J32" s="177"/>
    </row>
    <row r="33" spans="1:10" ht="15" customHeight="1" x14ac:dyDescent="0.25">
      <c r="A33" s="177"/>
      <c r="B33" s="177"/>
      <c r="C33" s="177"/>
      <c r="D33" s="177"/>
      <c r="E33" s="177"/>
      <c r="F33" s="177"/>
      <c r="G33" s="177"/>
      <c r="H33" s="177">
        <v>19</v>
      </c>
      <c r="I33" s="177"/>
      <c r="J33" s="177"/>
    </row>
    <row r="34" spans="1:10" ht="15" customHeight="1" x14ac:dyDescent="0.25">
      <c r="A34" s="177"/>
      <c r="B34" s="177"/>
      <c r="C34" s="177"/>
      <c r="D34" s="177"/>
      <c r="E34" s="177"/>
      <c r="F34" s="177"/>
      <c r="G34" s="177"/>
      <c r="H34" s="177">
        <v>11.2</v>
      </c>
      <c r="I34" s="177"/>
      <c r="J34" s="177"/>
    </row>
    <row r="35" spans="1:10" ht="21" customHeight="1" x14ac:dyDescent="0.35">
      <c r="A35" s="56">
        <f ca="1">NOW()</f>
        <v>46156.35136724537</v>
      </c>
      <c r="B35" s="343" t="s">
        <v>271</v>
      </c>
      <c r="C35" s="320"/>
      <c r="D35" s="320"/>
      <c r="E35" s="61"/>
      <c r="F35" s="61"/>
      <c r="G35" s="61"/>
      <c r="H35" s="61">
        <f>SUM(H29:H34)</f>
        <v>30.2</v>
      </c>
      <c r="I35" s="61"/>
      <c r="J35" s="61"/>
    </row>
    <row r="36" spans="1:10" x14ac:dyDescent="0.25">
      <c r="A36" s="177"/>
      <c r="B36" s="177"/>
      <c r="C36" s="177"/>
      <c r="D36" s="177"/>
      <c r="E36" s="177"/>
      <c r="F36" s="177"/>
      <c r="G36" s="177"/>
      <c r="H36" s="177"/>
      <c r="I36" s="177"/>
      <c r="J36" s="177"/>
    </row>
    <row r="37" spans="1:10" ht="69" customHeight="1" x14ac:dyDescent="0.25">
      <c r="A37" s="15" t="s">
        <v>189</v>
      </c>
      <c r="B37" s="15" t="s">
        <v>272</v>
      </c>
      <c r="C37" s="15" t="s">
        <v>273</v>
      </c>
      <c r="D37" s="15" t="s">
        <v>274</v>
      </c>
      <c r="E37" s="15" t="s">
        <v>275</v>
      </c>
      <c r="F37" s="15" t="s">
        <v>12</v>
      </c>
      <c r="G37" s="15" t="s">
        <v>208</v>
      </c>
      <c r="H37" s="15" t="s">
        <v>209</v>
      </c>
      <c r="I37" s="267"/>
      <c r="J37" s="267"/>
    </row>
    <row r="38" spans="1:10" ht="15" customHeight="1" x14ac:dyDescent="0.25">
      <c r="A38" s="62" t="s">
        <v>260</v>
      </c>
      <c r="B38" s="268">
        <v>356019</v>
      </c>
      <c r="C38" s="268">
        <v>375296</v>
      </c>
      <c r="D38" s="268">
        <v>349682</v>
      </c>
      <c r="E38" s="268">
        <v>116511</v>
      </c>
      <c r="F38" s="269" t="e">
        <f>E38/'Revised Client Price'!#REF!</f>
        <v>#REF!</v>
      </c>
      <c r="G38" s="270">
        <v>0.216</v>
      </c>
      <c r="H38" s="270"/>
      <c r="I38" s="209"/>
      <c r="J38" s="209"/>
    </row>
    <row r="39" spans="1:10" ht="15" customHeight="1" x14ac:dyDescent="0.25">
      <c r="A39" s="62" t="s">
        <v>262</v>
      </c>
      <c r="B39" s="268">
        <v>466208</v>
      </c>
      <c r="C39" s="268">
        <v>475692</v>
      </c>
      <c r="D39" s="268">
        <v>468970</v>
      </c>
      <c r="E39" s="268">
        <v>118674</v>
      </c>
      <c r="F39" s="269">
        <f>E39/'Revised Client Price'!B1</f>
        <v>0.17080383646999991</v>
      </c>
      <c r="G39" s="270">
        <v>0.214</v>
      </c>
      <c r="H39" s="270"/>
      <c r="I39" s="346" t="s">
        <v>276</v>
      </c>
      <c r="J39" s="320"/>
    </row>
    <row r="40" spans="1:10" ht="15" customHeight="1" x14ac:dyDescent="0.25">
      <c r="A40" s="62" t="s">
        <v>122</v>
      </c>
      <c r="B40" s="268">
        <v>549712</v>
      </c>
      <c r="C40" s="268">
        <v>553684</v>
      </c>
      <c r="D40" s="268">
        <v>548770</v>
      </c>
      <c r="E40" s="268">
        <v>161665</v>
      </c>
      <c r="F40" s="269">
        <f>E40/'Revised Client Price'!B3</f>
        <v>0.52918946432926184</v>
      </c>
      <c r="G40" s="270">
        <v>0.246</v>
      </c>
      <c r="H40" s="270"/>
      <c r="I40" s="209"/>
      <c r="J40" s="209"/>
    </row>
    <row r="41" spans="1:10" ht="15" customHeight="1" x14ac:dyDescent="0.25">
      <c r="A41" s="62" t="s">
        <v>265</v>
      </c>
      <c r="B41" s="268">
        <v>292534</v>
      </c>
      <c r="C41" s="268">
        <v>287844</v>
      </c>
      <c r="D41" s="268">
        <v>335017</v>
      </c>
      <c r="E41" s="268">
        <v>22860</v>
      </c>
      <c r="F41" s="269">
        <f>E41/'Revised Client Price'!B5</f>
        <v>2.8845389833519326E-2</v>
      </c>
      <c r="G41" s="270">
        <v>0.2</v>
      </c>
      <c r="H41" s="270"/>
      <c r="I41" s="345" t="s">
        <v>277</v>
      </c>
      <c r="J41" s="320"/>
    </row>
    <row r="42" spans="1:10" ht="15" customHeight="1" x14ac:dyDescent="0.25">
      <c r="A42" s="62" t="s">
        <v>267</v>
      </c>
      <c r="B42" s="268">
        <v>1351252</v>
      </c>
      <c r="C42" s="268">
        <v>1425959</v>
      </c>
      <c r="D42" s="268">
        <v>1465733</v>
      </c>
      <c r="E42" s="268">
        <v>66700</v>
      </c>
      <c r="F42" s="269" t="e">
        <f>E42/'Revised Client Price'!#REF!</f>
        <v>#REF!</v>
      </c>
      <c r="G42" s="270">
        <v>0.23949999999999999</v>
      </c>
      <c r="H42" s="270"/>
      <c r="I42" s="209"/>
      <c r="J42" s="209"/>
    </row>
    <row r="43" spans="1:10" ht="15" customHeight="1" x14ac:dyDescent="0.25">
      <c r="A43" s="62" t="s">
        <v>130</v>
      </c>
      <c r="B43" s="268">
        <v>544595</v>
      </c>
      <c r="C43" s="268">
        <v>567962</v>
      </c>
      <c r="D43" s="268">
        <v>565121</v>
      </c>
      <c r="E43" s="268">
        <v>153997</v>
      </c>
      <c r="F43" s="269" t="e">
        <f>E43/'Revised Client Price'!#REF!</f>
        <v>#REF!</v>
      </c>
      <c r="G43" s="270">
        <v>0.21579999999999999</v>
      </c>
      <c r="H43" s="270"/>
      <c r="I43" s="342" t="s">
        <v>278</v>
      </c>
      <c r="J43" s="320"/>
    </row>
    <row r="44" spans="1:10" ht="15" customHeight="1" x14ac:dyDescent="0.25">
      <c r="A44" s="62" t="s">
        <v>268</v>
      </c>
      <c r="B44" s="268">
        <v>249244</v>
      </c>
      <c r="C44" s="268">
        <v>251444</v>
      </c>
      <c r="D44" s="268">
        <v>230742</v>
      </c>
      <c r="E44" s="268">
        <v>94636</v>
      </c>
      <c r="F44" s="269" t="e">
        <f>E44/'Revised Client Price'!#REF!</f>
        <v>#REF!</v>
      </c>
      <c r="G44" s="270">
        <v>0.23</v>
      </c>
      <c r="H44" s="270"/>
      <c r="I44" s="209"/>
      <c r="J44" s="209"/>
    </row>
    <row r="45" spans="1:10" ht="15" customHeight="1" x14ac:dyDescent="0.25">
      <c r="A45" s="63" t="s">
        <v>231</v>
      </c>
      <c r="B45" s="64">
        <f>SUM(B38:B44)</f>
        <v>3809564</v>
      </c>
      <c r="C45" s="64">
        <f>SUM(C38:C44)</f>
        <v>3937881</v>
      </c>
      <c r="D45" s="64">
        <f>SUM(D38:D44)</f>
        <v>3964035</v>
      </c>
      <c r="E45" s="64">
        <f>SUM(E38:E44)</f>
        <v>735043</v>
      </c>
      <c r="F45" s="65" t="e">
        <f>AVERAGE(F38:F44)</f>
        <v>#REF!</v>
      </c>
      <c r="G45" s="65">
        <f>AVERAGE(G38:G44)</f>
        <v>0.22304285714285713</v>
      </c>
      <c r="H45" s="66"/>
      <c r="I45" s="209"/>
      <c r="J45" s="209"/>
    </row>
  </sheetData>
  <mergeCells count="8">
    <mergeCell ref="I43:J43"/>
    <mergeCell ref="D3:J3"/>
    <mergeCell ref="H5:J5"/>
    <mergeCell ref="B35:D35"/>
    <mergeCell ref="I41:J41"/>
    <mergeCell ref="B21:D21"/>
    <mergeCell ref="B5:E5"/>
    <mergeCell ref="I39:J39"/>
  </mergeCells>
  <conditionalFormatting sqref="D23:D30">
    <cfRule type="cellIs" dxfId="22" priority="13" operator="between">
      <formula>0</formula>
      <formula>3</formula>
    </cfRule>
    <cfRule type="cellIs" dxfId="21" priority="14" operator="lessThan">
      <formula>0</formula>
    </cfRule>
    <cfRule type="cellIs" dxfId="20" priority="15" operator="greaterThan">
      <formula>0</formula>
    </cfRule>
  </conditionalFormatting>
  <conditionalFormatting sqref="D30 J14">
    <cfRule type="cellIs" dxfId="19" priority="24" operator="greaterThan">
      <formula>0</formula>
    </cfRule>
  </conditionalFormatting>
  <conditionalFormatting sqref="D30">
    <cfRule type="cellIs" dxfId="18" priority="23" operator="equal">
      <formula>1</formula>
    </cfRule>
  </conditionalFormatting>
  <conditionalFormatting sqref="E7:E14">
    <cfRule type="cellIs" dxfId="17" priority="10" operator="lessThan">
      <formula>0</formula>
    </cfRule>
    <cfRule type="cellIs" dxfId="16" priority="11" operator="greaterThan">
      <formula>0</formula>
    </cfRule>
  </conditionalFormatting>
  <conditionalFormatting sqref="F23:F29">
    <cfRule type="expression" dxfId="15" priority="8">
      <formula>C23&lt;B23</formula>
    </cfRule>
    <cfRule type="expression" dxfId="14" priority="9">
      <formula>C23&gt;B23</formula>
    </cfRule>
  </conditionalFormatting>
  <conditionalFormatting sqref="F38:F44">
    <cfRule type="cellIs" dxfId="13" priority="5" operator="lessThan">
      <formula>0.15</formula>
    </cfRule>
    <cfRule type="cellIs" dxfId="12" priority="6" operator="greaterThan">
      <formula>0.2</formula>
    </cfRule>
    <cfRule type="cellIs" dxfId="11" priority="7" operator="between">
      <formula>0.16</formula>
      <formula>0.19</formula>
    </cfRule>
  </conditionalFormatting>
  <conditionalFormatting sqref="G45">
    <cfRule type="cellIs" dxfId="10" priority="2" operator="between">
      <formula>0.16</formula>
      <formula>0.19</formula>
    </cfRule>
    <cfRule type="cellIs" dxfId="9" priority="3" operator="lessThan">
      <formula>0.15</formula>
    </cfRule>
    <cfRule type="cellIs" dxfId="8" priority="4" operator="greaterThan">
      <formula>0.2</formula>
    </cfRule>
  </conditionalFormatting>
  <conditionalFormatting sqref="J7:J14">
    <cfRule type="cellIs" dxfId="7" priority="16" operator="between">
      <formula>0</formula>
      <formula>3</formula>
    </cfRule>
    <cfRule type="cellIs" dxfId="6" priority="17" operator="greaterThan">
      <formula>0</formula>
    </cfRule>
    <cfRule type="cellIs" dxfId="5" priority="18" operator="lessThan">
      <formula>0</formula>
    </cfRule>
    <cfRule type="cellIs" dxfId="4" priority="19" operator="greaterThan">
      <formula>0</formula>
    </cfRule>
    <cfRule type="cellIs" dxfId="3" priority="20" operator="lessThan">
      <formula>3</formula>
    </cfRule>
  </conditionalFormatting>
  <conditionalFormatting sqref="J9">
    <cfRule type="cellIs" dxfId="2" priority="12" operator="equal">
      <formula>0</formula>
    </cfRule>
  </conditionalFormatting>
  <conditionalFormatting sqref="J14">
    <cfRule type="cellIs" dxfId="1" priority="21" operator="equal">
      <formula>1</formula>
    </cfRule>
    <cfRule type="cellIs" dxfId="0" priority="22" operator="lessThan">
      <formula>0</formula>
    </cfRule>
  </conditionalFormatting>
  <pageMargins left="0.7" right="0.7" top="0.75" bottom="0.75" header="0.511811023622047" footer="0.511811023622047"/>
  <pageSetup paperSize="9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dimension ref="A1:C11"/>
  <sheetViews>
    <sheetView topLeftCell="A6" zoomScaleNormal="100" workbookViewId="0">
      <selection activeCell="B5" sqref="B5"/>
    </sheetView>
  </sheetViews>
  <sheetFormatPr defaultColWidth="33" defaultRowHeight="15" x14ac:dyDescent="0.25"/>
  <sheetData>
    <row r="1" spans="1:3" ht="90.75" customHeight="1" x14ac:dyDescent="0.25">
      <c r="A1" s="25" t="s">
        <v>279</v>
      </c>
      <c r="B1" s="25" t="s">
        <v>280</v>
      </c>
      <c r="C1" s="25" t="s">
        <v>281</v>
      </c>
    </row>
    <row r="2" spans="1:3" ht="90.75" customHeight="1" x14ac:dyDescent="0.25">
      <c r="A2" s="25" t="s">
        <v>282</v>
      </c>
      <c r="B2" s="26" t="s">
        <v>283</v>
      </c>
      <c r="C2" s="27" t="s">
        <v>284</v>
      </c>
    </row>
    <row r="3" spans="1:3" ht="90.75" customHeight="1" x14ac:dyDescent="0.25">
      <c r="A3" s="25" t="s">
        <v>285</v>
      </c>
      <c r="B3" s="26" t="s">
        <v>286</v>
      </c>
      <c r="C3" s="27" t="s">
        <v>287</v>
      </c>
    </row>
    <row r="4" spans="1:3" ht="90.75" customHeight="1" x14ac:dyDescent="0.25">
      <c r="A4" s="25" t="s">
        <v>288</v>
      </c>
      <c r="B4" s="26" t="s">
        <v>289</v>
      </c>
      <c r="C4" s="27" t="s">
        <v>290</v>
      </c>
    </row>
    <row r="5" spans="1:3" ht="90.75" customHeight="1" x14ac:dyDescent="0.25">
      <c r="A5" s="25" t="s">
        <v>291</v>
      </c>
      <c r="B5" s="26" t="s">
        <v>292</v>
      </c>
      <c r="C5" s="27" t="s">
        <v>293</v>
      </c>
    </row>
    <row r="6" spans="1:3" ht="90.75" customHeight="1" x14ac:dyDescent="0.25">
      <c r="A6" s="25" t="s">
        <v>294</v>
      </c>
      <c r="B6" s="26" t="s">
        <v>295</v>
      </c>
      <c r="C6" s="27" t="s">
        <v>296</v>
      </c>
    </row>
    <row r="7" spans="1:3" ht="90.75" customHeight="1" x14ac:dyDescent="0.25">
      <c r="A7" s="25" t="s">
        <v>297</v>
      </c>
      <c r="B7" s="26" t="s">
        <v>298</v>
      </c>
      <c r="C7" s="27" t="s">
        <v>299</v>
      </c>
    </row>
    <row r="8" spans="1:3" ht="90.75" customHeight="1" x14ac:dyDescent="0.25">
      <c r="A8" s="25" t="s">
        <v>300</v>
      </c>
      <c r="B8" s="26" t="s">
        <v>301</v>
      </c>
      <c r="C8" s="27" t="s">
        <v>302</v>
      </c>
    </row>
    <row r="9" spans="1:3" ht="90.75" customHeight="1" x14ac:dyDescent="0.25">
      <c r="A9" s="25" t="s">
        <v>303</v>
      </c>
      <c r="B9" s="26" t="s">
        <v>304</v>
      </c>
      <c r="C9" s="27" t="s">
        <v>305</v>
      </c>
    </row>
    <row r="10" spans="1:3" ht="90.75" customHeight="1" x14ac:dyDescent="0.25">
      <c r="A10" s="25" t="s">
        <v>306</v>
      </c>
      <c r="B10" s="26" t="s">
        <v>307</v>
      </c>
      <c r="C10" s="27" t="s">
        <v>308</v>
      </c>
    </row>
    <row r="11" spans="1:3" ht="90.75" customHeight="1" x14ac:dyDescent="0.25">
      <c r="A11" s="25" t="s">
        <v>309</v>
      </c>
      <c r="B11" s="26" t="s">
        <v>310</v>
      </c>
      <c r="C11" s="27" t="s">
        <v>311</v>
      </c>
    </row>
  </sheetData>
  <pageMargins left="0.7" right="0.7" top="0.75" bottom="0.75" header="0.511811023622047" footer="0.511811023622047"/>
  <pageSetup orientation="portrait" horizontalDpi="300" verticalDpi="30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496A7904182F645A897C3330EC31718" ma:contentTypeVersion="18" ma:contentTypeDescription="Create a new document." ma:contentTypeScope="" ma:versionID="6dbbeac7136758e5392a2e46dd4357a7">
  <xsd:schema xmlns:xsd="http://www.w3.org/2001/XMLSchema" xmlns:xs="http://www.w3.org/2001/XMLSchema" xmlns:p="http://schemas.microsoft.com/office/2006/metadata/properties" xmlns:ns2="ec131f59-9783-478d-a121-91f2011532d4" xmlns:ns3="9d6159a1-67cc-49b9-875d-7c858425efae" targetNamespace="http://schemas.microsoft.com/office/2006/metadata/properties" ma:root="true" ma:fieldsID="5a3521084458117bcd041c344db9436c" ns2:_="" ns3:_="">
    <xsd:import namespace="ec131f59-9783-478d-a121-91f2011532d4"/>
    <xsd:import namespace="9d6159a1-67cc-49b9-875d-7c858425efa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131f59-9783-478d-a121-91f2011532d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86655a1-1654-4b24-bc6f-c4c0b5e93fb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6159a1-67cc-49b9-875d-7c858425efae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b1de333c-8b38-4338-81dd-d805f71c8c6b}" ma:internalName="TaxCatchAll" ma:showField="CatchAllData" ma:web="9d6159a1-67cc-49b9-875d-7c858425efa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c131f59-9783-478d-a121-91f2011532d4">
      <Terms xmlns="http://schemas.microsoft.com/office/infopath/2007/PartnerControls"/>
    </lcf76f155ced4ddcb4097134ff3c332f>
    <TaxCatchAll xmlns="9d6159a1-67cc-49b9-875d-7c858425efae" xsi:nil="true"/>
  </documentManagement>
</p:properties>
</file>

<file path=customXml/itemProps1.xml><?xml version="1.0" encoding="utf-8"?>
<ds:datastoreItem xmlns:ds="http://schemas.openxmlformats.org/officeDocument/2006/customXml" ds:itemID="{70A9F691-C49F-4C80-B664-92F83A9DAD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c131f59-9783-478d-a121-91f2011532d4"/>
    <ds:schemaRef ds:uri="9d6159a1-67cc-49b9-875d-7c858425ef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4CAEFE0-08FD-4EFD-9F25-533A625C7A9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A21B7B1-1A3B-48DA-8440-52396FA98368}">
  <ds:schemaRefs>
    <ds:schemaRef ds:uri="http://schemas.microsoft.com/office/2006/metadata/properties"/>
    <ds:schemaRef ds:uri="http://schemas.microsoft.com/office/infopath/2007/PartnerControls"/>
    <ds:schemaRef ds:uri="ec131f59-9783-478d-a121-91f2011532d4"/>
    <ds:schemaRef ds:uri="9d6159a1-67cc-49b9-875d-7c858425efa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Summary</vt:lpstr>
      <vt:lpstr>Dashboard</vt:lpstr>
      <vt:lpstr>Other Metrics</vt:lpstr>
      <vt:lpstr>Revised Client Price</vt:lpstr>
      <vt:lpstr>Deep_Dive</vt:lpstr>
      <vt:lpstr>Public Holidays</vt:lpstr>
      <vt:lpstr>Projects Completed</vt:lpstr>
      <vt:lpstr>Schedules_Solo</vt:lpstr>
      <vt:lpstr>Budgets_Solo</vt:lpstr>
      <vt:lpstr>Charts</vt:lpstr>
      <vt:lpstr>Old Data</vt:lpstr>
      <vt:lpstr>Sheet1</vt:lpstr>
      <vt:lpstr>Dashboard!Print_Area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PageTitle</dc:title>
  <dc:creator>Dale Psaila</dc:creator>
  <cp:keywords>Keywords</cp:keywords>
  <cp:lastModifiedBy>Dale Psaila</cp:lastModifiedBy>
  <cp:revision>2</cp:revision>
  <cp:lastPrinted>2026-02-23T04:08:18Z</cp:lastPrinted>
  <dcterms:created xsi:type="dcterms:W3CDTF">2025-08-20T14:40:12Z</dcterms:created>
  <dcterms:modified xsi:type="dcterms:W3CDTF">2026-05-13T22:25:58Z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0x010100B496A7904182F645A897C3330EC31718</vt:lpwstr>
  </property>
  <property fmtid="{D5CDD505-2E9C-101B-9397-08002B2CF9AE}" pid="3" name="LinkedDataId">
    <vt:lpwstr>{0F8F50F0-505D-4C5D-8907-B4586AB6A30F}</vt:lpwstr>
  </property>
  <property fmtid="{D5CDD505-2E9C-101B-9397-08002B2CF9AE}" pid="4" name="MediaServiceImageTags">
    <vt:lpwstr/>
  </property>
  <property fmtid="{D5CDD505-2E9C-101B-9397-08002B2CF9AE}" pid="5" name="PlanSwiftJobGuid">
    <vt:lpwstr/>
  </property>
  <property fmtid="{D5CDD505-2E9C-101B-9397-08002B2CF9AE}" pid="6" name="PlanSwiftJobName">
    <vt:lpwstr/>
  </property>
</Properties>
</file>